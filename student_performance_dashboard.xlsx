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B1D3E2E-F401-482A-B05D-6077777C9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tudent Data" sheetId="2" r:id="rId2"/>
    <sheet name="Pivot Summary" sheetId="3" r:id="rId3"/>
    <sheet name="Filter 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D7" i="1"/>
  <c r="A7" i="1"/>
  <c r="M7" i="3"/>
  <c r="L7" i="3"/>
  <c r="M6" i="3"/>
  <c r="L6" i="3"/>
  <c r="D6" i="3"/>
  <c r="C6" i="3"/>
  <c r="B6" i="3"/>
  <c r="M5" i="3"/>
  <c r="L5" i="3"/>
  <c r="I5" i="3"/>
  <c r="H5" i="3"/>
  <c r="G5" i="3"/>
  <c r="D5" i="3"/>
  <c r="C5" i="3"/>
  <c r="B5" i="3"/>
  <c r="M4" i="3"/>
  <c r="L4" i="3"/>
  <c r="I4" i="3"/>
  <c r="H4" i="3"/>
  <c r="G4" i="3"/>
  <c r="D4" i="3"/>
  <c r="C4" i="3"/>
  <c r="B4" i="3"/>
  <c r="E29" i="1"/>
  <c r="E28" i="1"/>
  <c r="B28" i="1"/>
  <c r="H27" i="1"/>
  <c r="E27" i="1"/>
  <c r="B27" i="1"/>
  <c r="H26" i="1"/>
  <c r="E26" i="1"/>
  <c r="B26" i="1"/>
  <c r="J7" i="1"/>
</calcChain>
</file>

<file path=xl/sharedStrings.xml><?xml version="1.0" encoding="utf-8"?>
<sst xmlns="http://schemas.openxmlformats.org/spreadsheetml/2006/main" count="967" uniqueCount="310">
  <si>
    <t>STUDENT PERFORMANCE DASHBOARD | 2025–26</t>
  </si>
  <si>
    <t>Class Filter</t>
  </si>
  <si>
    <t>All</t>
  </si>
  <si>
    <t>Gender Filter</t>
  </si>
  <si>
    <t>Students</t>
  </si>
  <si>
    <t>Average Score</t>
  </si>
  <si>
    <t>Pass Count</t>
  </si>
  <si>
    <t>Avg Attendance</t>
  </si>
  <si>
    <t>Class</t>
  </si>
  <si>
    <t>Subject</t>
  </si>
  <si>
    <t>Average Marks</t>
  </si>
  <si>
    <t>Result</t>
  </si>
  <si>
    <t>Class 8</t>
  </si>
  <si>
    <t>Maths</t>
  </si>
  <si>
    <t>Pass</t>
  </si>
  <si>
    <t>Class 9</t>
  </si>
  <si>
    <t>Science</t>
  </si>
  <si>
    <t>Needs Support</t>
  </si>
  <si>
    <t>Class 10</t>
  </si>
  <si>
    <t>English</t>
  </si>
  <si>
    <t>Marathi</t>
  </si>
  <si>
    <t>Student ID</t>
  </si>
  <si>
    <t>Student Name</t>
  </si>
  <si>
    <t>Section</t>
  </si>
  <si>
    <t>Gender</t>
  </si>
  <si>
    <t>Attendance %</t>
  </si>
  <si>
    <t>Total Marks</t>
  </si>
  <si>
    <t>Average %</t>
  </si>
  <si>
    <t>STU-001</t>
  </si>
  <si>
    <t>Aarav More</t>
  </si>
  <si>
    <t>B</t>
  </si>
  <si>
    <t>Female</t>
  </si>
  <si>
    <t>STU-002</t>
  </si>
  <si>
    <t>Rohan Joshi</t>
  </si>
  <si>
    <t>C</t>
  </si>
  <si>
    <t>Male</t>
  </si>
  <si>
    <t>STU-003</t>
  </si>
  <si>
    <t>Kabir Joshi</t>
  </si>
  <si>
    <t>STU-004</t>
  </si>
  <si>
    <t>Myra Deshmukh</t>
  </si>
  <si>
    <t>A</t>
  </si>
  <si>
    <t>STU-005</t>
  </si>
  <si>
    <t>Kabir Verma</t>
  </si>
  <si>
    <t>STU-006</t>
  </si>
  <si>
    <t>Pihu Chavan</t>
  </si>
  <si>
    <t>STU-007</t>
  </si>
  <si>
    <t>Meera More</t>
  </si>
  <si>
    <t>STU-008</t>
  </si>
  <si>
    <t>STU-009</t>
  </si>
  <si>
    <t>Anaya Raut</t>
  </si>
  <si>
    <t>STU-010</t>
  </si>
  <si>
    <t>Diya Patil</t>
  </si>
  <si>
    <t>STU-011</t>
  </si>
  <si>
    <t>Pihu Joshi</t>
  </si>
  <si>
    <t>STU-012</t>
  </si>
  <si>
    <t>Saanvi Kale</t>
  </si>
  <si>
    <t>STU-013</t>
  </si>
  <si>
    <t>Sana Pawar</t>
  </si>
  <si>
    <t>STU-014</t>
  </si>
  <si>
    <t>Diya Thakur</t>
  </si>
  <si>
    <t>STU-015</t>
  </si>
  <si>
    <t>Kabir Gupta</t>
  </si>
  <si>
    <t>STU-016</t>
  </si>
  <si>
    <t>Ishaan Joshi</t>
  </si>
  <si>
    <t>STU-017</t>
  </si>
  <si>
    <t>Om Patil</t>
  </si>
  <si>
    <t>STU-018</t>
  </si>
  <si>
    <t>Siya Deshmukh</t>
  </si>
  <si>
    <t>STU-019</t>
  </si>
  <si>
    <t>Advik Raut</t>
  </si>
  <si>
    <t>STU-020</t>
  </si>
  <si>
    <t>STU-021</t>
  </si>
  <si>
    <t>Atharv Patil</t>
  </si>
  <si>
    <t>STU-022</t>
  </si>
  <si>
    <t>Ira Chavan</t>
  </si>
  <si>
    <t>STU-023</t>
  </si>
  <si>
    <t>Anaya Thakur</t>
  </si>
  <si>
    <t>STU-024</t>
  </si>
  <si>
    <t>Rohan Raut</t>
  </si>
  <si>
    <t>STU-025</t>
  </si>
  <si>
    <t>Rohan Pawar</t>
  </si>
  <si>
    <t>STU-026</t>
  </si>
  <si>
    <t>Arjun Sharma</t>
  </si>
  <si>
    <t>STU-027</t>
  </si>
  <si>
    <t>Kiara Joshi</t>
  </si>
  <si>
    <t>STU-028</t>
  </si>
  <si>
    <t>Anaya Kulkarni</t>
  </si>
  <si>
    <t>STU-029</t>
  </si>
  <si>
    <t>Advik Singh</t>
  </si>
  <si>
    <t>STU-030</t>
  </si>
  <si>
    <t>Riya Sharma</t>
  </si>
  <si>
    <t>STU-031</t>
  </si>
  <si>
    <t>STU-032</t>
  </si>
  <si>
    <t>Ira Raut</t>
  </si>
  <si>
    <t>STU-033</t>
  </si>
  <si>
    <t>Atharv Thakur</t>
  </si>
  <si>
    <t>STU-034</t>
  </si>
  <si>
    <t>Kiara Kulkarni</t>
  </si>
  <si>
    <t>STU-035</t>
  </si>
  <si>
    <t>Ishaan Jadhav</t>
  </si>
  <si>
    <t>STU-036</t>
  </si>
  <si>
    <t>Neha Chavan</t>
  </si>
  <si>
    <t>STU-037</t>
  </si>
  <si>
    <t>Vihaan Patil</t>
  </si>
  <si>
    <t>STU-038</t>
  </si>
  <si>
    <t>Vivaan Pawar</t>
  </si>
  <si>
    <t>STU-039</t>
  </si>
  <si>
    <t>STU-040</t>
  </si>
  <si>
    <t>Diya Jadhav</t>
  </si>
  <si>
    <t>STU-041</t>
  </si>
  <si>
    <t>Aditi Pawar</t>
  </si>
  <si>
    <t>STU-042</t>
  </si>
  <si>
    <t>Aarav Thakur</t>
  </si>
  <si>
    <t>STU-043</t>
  </si>
  <si>
    <t>STU-044</t>
  </si>
  <si>
    <t>Ishaan Sharma</t>
  </si>
  <si>
    <t>STU-045</t>
  </si>
  <si>
    <t>Sana Patil</t>
  </si>
  <si>
    <t>STU-046</t>
  </si>
  <si>
    <t>Atharv Raut</t>
  </si>
  <si>
    <t>STU-047</t>
  </si>
  <si>
    <t>Yash More</t>
  </si>
  <si>
    <t>STU-048</t>
  </si>
  <si>
    <t>Om Verma</t>
  </si>
  <si>
    <t>STU-049</t>
  </si>
  <si>
    <t>Dev Pawar</t>
  </si>
  <si>
    <t>STU-050</t>
  </si>
  <si>
    <t>Dev Jadhav</t>
  </si>
  <si>
    <t>STU-051</t>
  </si>
  <si>
    <t>Om Singh</t>
  </si>
  <si>
    <t>STU-052</t>
  </si>
  <si>
    <t>Kabir Thakur</t>
  </si>
  <si>
    <t>STU-053</t>
  </si>
  <si>
    <t>Tara More</t>
  </si>
  <si>
    <t>STU-054</t>
  </si>
  <si>
    <t>Kiara Singh</t>
  </si>
  <si>
    <t>STU-055</t>
  </si>
  <si>
    <t>Aarav Kale</t>
  </si>
  <si>
    <t>STU-056</t>
  </si>
  <si>
    <t>Riya Kale</t>
  </si>
  <si>
    <t>STU-057</t>
  </si>
  <si>
    <t>Nisha Kulkarni</t>
  </si>
  <si>
    <t>STU-058</t>
  </si>
  <si>
    <t>Om Deshmukh</t>
  </si>
  <si>
    <t>STU-059</t>
  </si>
  <si>
    <t>Siya Joshi</t>
  </si>
  <si>
    <t>STU-060</t>
  </si>
  <si>
    <t>Tara Pawar</t>
  </si>
  <si>
    <t>STU-061</t>
  </si>
  <si>
    <t>Advik Gupta</t>
  </si>
  <si>
    <t>STU-062</t>
  </si>
  <si>
    <t>Saanvi More</t>
  </si>
  <si>
    <t>STU-063</t>
  </si>
  <si>
    <t>Om Kale</t>
  </si>
  <si>
    <t>STU-064</t>
  </si>
  <si>
    <t>Myra Kale</t>
  </si>
  <si>
    <t>STU-065</t>
  </si>
  <si>
    <t>STU-066</t>
  </si>
  <si>
    <t>Nisha Gupta</t>
  </si>
  <si>
    <t>STU-067</t>
  </si>
  <si>
    <t>Siya Thakur</t>
  </si>
  <si>
    <t>STU-068</t>
  </si>
  <si>
    <t>Kunal Jadhav</t>
  </si>
  <si>
    <t>STU-069</t>
  </si>
  <si>
    <t>STU-070</t>
  </si>
  <si>
    <t>Yash Jadhav</t>
  </si>
  <si>
    <t>STU-071</t>
  </si>
  <si>
    <t>Anaya Sharma</t>
  </si>
  <si>
    <t>STU-072</t>
  </si>
  <si>
    <t>Riya Kulkarni</t>
  </si>
  <si>
    <t>STU-073</t>
  </si>
  <si>
    <t>Pihu Gupta</t>
  </si>
  <si>
    <t>STU-074</t>
  </si>
  <si>
    <t>Pihu Raut</t>
  </si>
  <si>
    <t>STU-075</t>
  </si>
  <si>
    <t>Tara Sharma</t>
  </si>
  <si>
    <t>STU-076</t>
  </si>
  <si>
    <t>Nisha Deshmukh</t>
  </si>
  <si>
    <t>STU-077</t>
  </si>
  <si>
    <t>Myra Verma</t>
  </si>
  <si>
    <t>STU-078</t>
  </si>
  <si>
    <t>Sana Jadhav</t>
  </si>
  <si>
    <t>STU-079</t>
  </si>
  <si>
    <t>STU-080</t>
  </si>
  <si>
    <t>Meera Joshi</t>
  </si>
  <si>
    <t>STU-081</t>
  </si>
  <si>
    <t>STU-082</t>
  </si>
  <si>
    <t>Advik Deshmukh</t>
  </si>
  <si>
    <t>STU-083</t>
  </si>
  <si>
    <t>STU-084</t>
  </si>
  <si>
    <t>Aditi Kale</t>
  </si>
  <si>
    <t>STU-085</t>
  </si>
  <si>
    <t>Advik Kale</t>
  </si>
  <si>
    <t>STU-086</t>
  </si>
  <si>
    <t>Kunal More</t>
  </si>
  <si>
    <t>STU-087</t>
  </si>
  <si>
    <t>STU-088</t>
  </si>
  <si>
    <t>STU-089</t>
  </si>
  <si>
    <t>Atharv Verma</t>
  </si>
  <si>
    <t>STU-090</t>
  </si>
  <si>
    <t>Riya Deshmukh</t>
  </si>
  <si>
    <t>STU-091</t>
  </si>
  <si>
    <t>Ishaan Deshmukh</t>
  </si>
  <si>
    <t>STU-092</t>
  </si>
  <si>
    <t>Nisha More</t>
  </si>
  <si>
    <t>STU-093</t>
  </si>
  <si>
    <t>Manav Singh</t>
  </si>
  <si>
    <t>STU-094</t>
  </si>
  <si>
    <t>Ira Kale</t>
  </si>
  <si>
    <t>STU-095</t>
  </si>
  <si>
    <t>STU-096</t>
  </si>
  <si>
    <t>Kunal Patil</t>
  </si>
  <si>
    <t>STU-097</t>
  </si>
  <si>
    <t>Sana Verma</t>
  </si>
  <si>
    <t>STU-098</t>
  </si>
  <si>
    <t>Arjun Deshmukh</t>
  </si>
  <si>
    <t>STU-099</t>
  </si>
  <si>
    <t>Reyansh Kale</t>
  </si>
  <si>
    <t>STU-100</t>
  </si>
  <si>
    <t>Ira Deshmukh</t>
  </si>
  <si>
    <t>STU-101</t>
  </si>
  <si>
    <t>Aarav Patil</t>
  </si>
  <si>
    <t>STU-102</t>
  </si>
  <si>
    <t>Vivaan Deshmukh</t>
  </si>
  <si>
    <t>STU-103</t>
  </si>
  <si>
    <t>Dev Kulkarni</t>
  </si>
  <si>
    <t>STU-104</t>
  </si>
  <si>
    <t>Om Sharma</t>
  </si>
  <si>
    <t>STU-105</t>
  </si>
  <si>
    <t>Aarav Jadhav</t>
  </si>
  <si>
    <t>STU-106</t>
  </si>
  <si>
    <t>Siya Pawar</t>
  </si>
  <si>
    <t>STU-107</t>
  </si>
  <si>
    <t>Sana Chavan</t>
  </si>
  <si>
    <t>STU-108</t>
  </si>
  <si>
    <t>STU-109</t>
  </si>
  <si>
    <t>Atharv More</t>
  </si>
  <si>
    <t>STU-110</t>
  </si>
  <si>
    <t>Arjun Singh</t>
  </si>
  <si>
    <t>STU-111</t>
  </si>
  <si>
    <t>Reyansh Kulkarni</t>
  </si>
  <si>
    <t>STU-112</t>
  </si>
  <si>
    <t>Tara Patil</t>
  </si>
  <si>
    <t>STU-113</t>
  </si>
  <si>
    <t>Aditi Kulkarni</t>
  </si>
  <si>
    <t>STU-114</t>
  </si>
  <si>
    <t>STU-115</t>
  </si>
  <si>
    <t>Diya Deshmukh</t>
  </si>
  <si>
    <t>STU-116</t>
  </si>
  <si>
    <t>STU-117</t>
  </si>
  <si>
    <t>Aarav Sharma</t>
  </si>
  <si>
    <t>STU-118</t>
  </si>
  <si>
    <t>STU-119</t>
  </si>
  <si>
    <t>Riya Patil</t>
  </si>
  <si>
    <t>STU-120</t>
  </si>
  <si>
    <t>Kunal Gupta</t>
  </si>
  <si>
    <t>STU-121</t>
  </si>
  <si>
    <t>Nisha Verma</t>
  </si>
  <si>
    <t>STU-122</t>
  </si>
  <si>
    <t>Nisha Joshi</t>
  </si>
  <si>
    <t>STU-123</t>
  </si>
  <si>
    <t>Sana Gupta</t>
  </si>
  <si>
    <t>STU-124</t>
  </si>
  <si>
    <t>STU-125</t>
  </si>
  <si>
    <t>Rohan Sharma</t>
  </si>
  <si>
    <t>STU-126</t>
  </si>
  <si>
    <t>Neha Kale</t>
  </si>
  <si>
    <t>STU-127</t>
  </si>
  <si>
    <t>Diya Kulkarni</t>
  </si>
  <si>
    <t>STU-128</t>
  </si>
  <si>
    <t>STU-129</t>
  </si>
  <si>
    <t>STU-130</t>
  </si>
  <si>
    <t>Kabir Jadhav</t>
  </si>
  <si>
    <t>STU-131</t>
  </si>
  <si>
    <t>STU-132</t>
  </si>
  <si>
    <t>Yash Deshmukh</t>
  </si>
  <si>
    <t>STU-133</t>
  </si>
  <si>
    <t>Atharv Joshi</t>
  </si>
  <si>
    <t>STU-134</t>
  </si>
  <si>
    <t>Tara Gupta</t>
  </si>
  <si>
    <t>STU-135</t>
  </si>
  <si>
    <t>STU-136</t>
  </si>
  <si>
    <t>STU-137</t>
  </si>
  <si>
    <t>Om Pawar</t>
  </si>
  <si>
    <t>STU-138</t>
  </si>
  <si>
    <t>Ira Patil</t>
  </si>
  <si>
    <t>STU-139</t>
  </si>
  <si>
    <t>Rohan More</t>
  </si>
  <si>
    <t>STU-140</t>
  </si>
  <si>
    <t>Anaya Deshmukh</t>
  </si>
  <si>
    <t>STU-141</t>
  </si>
  <si>
    <t>STU-142</t>
  </si>
  <si>
    <t>Aditi Verma</t>
  </si>
  <si>
    <t>STU-143</t>
  </si>
  <si>
    <t>STU-144</t>
  </si>
  <si>
    <t>Meera Patil</t>
  </si>
  <si>
    <t>STU-145</t>
  </si>
  <si>
    <t>Aarav Singh</t>
  </si>
  <si>
    <t>STU-146</t>
  </si>
  <si>
    <t>Reyansh Thakur</t>
  </si>
  <si>
    <t>STU-147</t>
  </si>
  <si>
    <t>STU-148</t>
  </si>
  <si>
    <t>Diya Chavan</t>
  </si>
  <si>
    <t>STU-149</t>
  </si>
  <si>
    <t>Siya Gupta</t>
  </si>
  <si>
    <t>STU-150</t>
  </si>
  <si>
    <t>STUDENT PERFORMANCE SUMMARY (PIVOT-STYLE)</t>
  </si>
  <si>
    <t>Student Count</t>
  </si>
  <si>
    <t>Average Attendance</t>
  </si>
  <si>
    <t>Maximum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</si>
</sst>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i/>
      <sz val="10"/>
      <color rgb="FF666666"/>
      <name val="Carlito"/>
    </font>
    <font>
      <b/>
      <sz val="18"/>
      <color rgb="FF17365D"/>
      <name val="Carlito"/>
    </font>
    <font>
      <b/>
      <sz val="16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3" borderId="0" xfId="0" applyFont="1" applyFill="1"/>
    <xf numFmtId="0" fontId="3" fillId="5" borderId="0" xfId="0" applyFont="1" applyFill="1" applyAlignment="1">
      <alignment horizontal="center"/>
    </xf>
    <xf numFmtId="0" fontId="1" fillId="6" borderId="0" xfId="0" applyFont="1" applyFill="1"/>
    <xf numFmtId="0" fontId="2" fillId="4" borderId="0" xfId="0" applyFont="1" applyFill="1" applyAlignment="1">
      <alignment horizontal="center" vertic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Average Score by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Score</c:v>
          </c:tx>
          <c:invertIfNegative val="1"/>
          <c:cat>
            <c:strRef>
              <c:f>Dashboard!$A$26:$A$28</c:f>
              <c:strCache>
                <c:ptCount val="3"/>
                <c:pt idx="0">
                  <c:v>Class 8</c:v>
                </c:pt>
                <c:pt idx="1">
                  <c:v>Class 9</c:v>
                </c:pt>
                <c:pt idx="2">
                  <c:v>Class 10</c:v>
                </c:pt>
              </c:strCache>
            </c:strRef>
          </c:cat>
          <c:val>
            <c:numRef>
              <c:f>Dashboard!$B$26:$B$28</c:f>
              <c:numCache>
                <c:formatCode>0.0</c:formatCode>
                <c:ptCount val="3"/>
                <c:pt idx="0">
                  <c:v>65.124999999999986</c:v>
                </c:pt>
                <c:pt idx="1">
                  <c:v>66.971428571428575</c:v>
                </c:pt>
                <c:pt idx="2">
                  <c:v>73.581818181818178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9-4F09-89D3-B0EA604A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Average Marks by Subject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Marks</c:v>
          </c:tx>
          <c:invertIfNegative val="1"/>
          <c:cat>
            <c:strRef>
              <c:f>Dashboard!$D$26:$D$29</c:f>
              <c:strCache>
                <c:ptCount val="4"/>
                <c:pt idx="0">
                  <c:v>Maths</c:v>
                </c:pt>
                <c:pt idx="1">
                  <c:v>Science</c:v>
                </c:pt>
                <c:pt idx="2">
                  <c:v>English</c:v>
                </c:pt>
                <c:pt idx="3">
                  <c:v>Marathi</c:v>
                </c:pt>
              </c:strCache>
            </c:strRef>
          </c:cat>
          <c:val>
            <c:numRef>
              <c:f>Dashboard!$E$26:$E$29</c:f>
              <c:numCache>
                <c:formatCode>0.0</c:formatCode>
                <c:ptCount val="4"/>
                <c:pt idx="0">
                  <c:v>78.090909090909093</c:v>
                </c:pt>
                <c:pt idx="1">
                  <c:v>69.727272727272734</c:v>
                </c:pt>
                <c:pt idx="2">
                  <c:v>71.545454545454547</c:v>
                </c:pt>
                <c:pt idx="3">
                  <c:v>74.954545454545453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E-4C18-8B10-9A7E7BB24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Pass vs Needs Support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Students</c:v>
          </c:tx>
          <c:cat>
            <c:strRef>
              <c:f>Dashboard!$G$26:$G$27</c:f>
              <c:strCache>
                <c:ptCount val="2"/>
                <c:pt idx="0">
                  <c:v>Pass</c:v>
                </c:pt>
                <c:pt idx="1">
                  <c:v>Needs Support</c:v>
                </c:pt>
              </c:strCache>
            </c:strRef>
          </c:cat>
          <c:val>
            <c:numRef>
              <c:f>Dashboard!$H$26:$H$27</c:f>
              <c:numCache>
                <c:formatCode>General</c:formatCode>
                <c:ptCount val="2"/>
                <c:pt idx="0">
                  <c:v>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E-4F6B-9FD2-06E9EB584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10</xdr:row>
      <xdr:rowOff>45720</xdr:rowOff>
    </xdr:from>
    <xdr:to>
      <xdr:col>3</xdr:col>
      <xdr:colOff>205740</xdr:colOff>
      <xdr:row>13</xdr:row>
      <xdr:rowOff>137160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CBB22-D4C5-3070-285E-50C91DF7683F}"/>
            </a:ext>
          </a:extLst>
        </xdr:cNvPr>
        <xdr:cNvSpPr/>
      </xdr:nvSpPr>
      <xdr:spPr>
        <a:xfrm>
          <a:off x="3154680" y="1889760"/>
          <a:ext cx="1470660" cy="6172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click</a:t>
          </a:r>
          <a:r>
            <a:rPr lang="en-IN" sz="1100" baseline="0"/>
            <a:t> to move dashboard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PerformanceTable" displayName="StudentPerformanceTable" ref="A1:M151" totalsRowShown="0">
  <tableColumns count="13">
    <tableColumn id="1" xr3:uid="{00000000-0010-0000-0000-000001000000}" name="Student ID"/>
    <tableColumn id="2" xr3:uid="{00000000-0010-0000-0000-000002000000}" name="Student Name"/>
    <tableColumn id="3" xr3:uid="{00000000-0010-0000-0000-000003000000}" name="Class"/>
    <tableColumn id="4" xr3:uid="{00000000-0010-0000-0000-000004000000}" name="Section"/>
    <tableColumn id="5" xr3:uid="{00000000-0010-0000-0000-000005000000}" name="Gender"/>
    <tableColumn id="6" xr3:uid="{00000000-0010-0000-0000-000006000000}" name="Maths"/>
    <tableColumn id="7" xr3:uid="{00000000-0010-0000-0000-000007000000}" name="Science"/>
    <tableColumn id="8" xr3:uid="{00000000-0010-0000-0000-000008000000}" name="English"/>
    <tableColumn id="9" xr3:uid="{00000000-0010-0000-0000-000009000000}" name="Marathi"/>
    <tableColumn id="10" xr3:uid="{00000000-0010-0000-0000-00000A000000}" name="Attendance %"/>
    <tableColumn id="11" xr3:uid="{00000000-0010-0000-0000-00000B000000}" name="Total Marks"/>
    <tableColumn id="12" xr3:uid="{00000000-0010-0000-0000-00000C000000}" name="Average %"/>
    <tableColumn id="13" xr3:uid="{00000000-0010-0000-0000-00000D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ySplit="4" topLeftCell="A5" activePane="bottomLeft" state="frozen"/>
      <selection pane="bottomLeft" activeCell="E3" sqref="E3"/>
    </sheetView>
  </sheetViews>
  <sheetFormatPr defaultRowHeight="13.8"/>
  <cols>
    <col min="1" max="1" width="17" customWidth="1"/>
    <col min="2" max="2" width="16" customWidth="1"/>
    <col min="3" max="3" width="4" customWidth="1"/>
    <col min="4" max="4" width="17" customWidth="1"/>
    <col min="5" max="5" width="16" customWidth="1"/>
    <col min="6" max="6" width="4" customWidth="1"/>
    <col min="7" max="7" width="17" customWidth="1"/>
    <col min="8" max="8" width="16" customWidth="1"/>
    <col min="9" max="9" width="4" customWidth="1"/>
    <col min="10" max="10" width="17" customWidth="1"/>
    <col min="11" max="14" width="12" customWidth="1"/>
  </cols>
  <sheetData>
    <row r="1" spans="1:14" ht="34.049999999999997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>
      <c r="A3" s="3" t="s">
        <v>1</v>
      </c>
      <c r="B3" s="4" t="s">
        <v>18</v>
      </c>
      <c r="D3" s="3" t="s">
        <v>3</v>
      </c>
      <c r="E3" s="4" t="s">
        <v>31</v>
      </c>
    </row>
    <row r="4" spans="1:14">
      <c r="A4" s="7"/>
      <c r="B4" s="7"/>
      <c r="C4" s="7"/>
      <c r="D4" s="7"/>
      <c r="E4" s="7"/>
      <c r="F4" s="7"/>
      <c r="G4" s="7"/>
      <c r="H4" s="7"/>
    </row>
    <row r="6" spans="1:14">
      <c r="A6" s="8" t="s">
        <v>4</v>
      </c>
      <c r="B6" s="8"/>
      <c r="C6" s="8"/>
      <c r="D6" s="8" t="s">
        <v>5</v>
      </c>
      <c r="E6" s="8"/>
      <c r="F6" s="8"/>
      <c r="G6" s="8" t="s">
        <v>6</v>
      </c>
      <c r="H6" s="8"/>
      <c r="I6" s="8"/>
      <c r="J6" s="8" t="s">
        <v>7</v>
      </c>
      <c r="K6" s="8"/>
      <c r="L6" s="8"/>
    </row>
    <row r="7" spans="1:14">
      <c r="A7" s="9">
        <f>COUNTIFS('Student Data'!$C$2:$C$151,IF($B$3="All","*",$B$3),'Student Data'!$E$2:$E$151,IF($E$3="All","*",$E$3))</f>
        <v>22</v>
      </c>
      <c r="B7" s="9"/>
      <c r="C7" s="9"/>
      <c r="D7" s="10">
        <f>IFERROR(SUMIFS('Student Data'!$L$2:$L$151,'Student Data'!$C$2:$C$151,IF($B$3="All","*",$B$3),'Student Data'!$E$2:$E$151,IF($E$3="All","*",$E$3))/COUNTIFS('Student Data'!$C$2:$C$151,IF($B$3="All","*",$B$3),'Student Data'!$E$2:$E$151,IF($E$3="All","*",$E$3)),0)</f>
        <v>73.581818181818178</v>
      </c>
      <c r="E7" s="9"/>
      <c r="F7" s="9"/>
      <c r="G7" s="9">
        <f>COUNTIFS('Student Data'!$C$2:$C$151,IF($B$3="All","*",$B$3),'Student Data'!$E$2:$E$151,IF($E$3="All","*",$E$3),'Student Data'!$M$2:$M$151,"Pass")</f>
        <v>21</v>
      </c>
      <c r="H7" s="9"/>
      <c r="I7" s="9"/>
      <c r="J7" s="10">
        <f>IFERROR(SUMIFS('Student Data'!$J$2:$J$151,'Student Data'!$C$2:$C$151,IF($B$3="All","*",$B$3),'Student Data'!$E$2:$E$151,IF($E$3="All","*",$E$3))/COUNTIFS('Student Data'!$C$2:$C$151,IF($B$3="All","*",$B$3),'Student Data'!$E$2:$E$151,IF($E$3="All","*",$E$3)),0)</f>
        <v>85.86363636363636</v>
      </c>
      <c r="K7" s="9"/>
      <c r="L7" s="9"/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25" spans="1:8">
      <c r="A25" s="5" t="s">
        <v>8</v>
      </c>
      <c r="B25" s="5" t="s">
        <v>5</v>
      </c>
      <c r="C25" s="5"/>
      <c r="D25" s="5" t="s">
        <v>9</v>
      </c>
      <c r="E25" s="5" t="s">
        <v>10</v>
      </c>
      <c r="F25" s="5"/>
      <c r="G25" s="5" t="s">
        <v>11</v>
      </c>
      <c r="H25" s="5" t="s">
        <v>4</v>
      </c>
    </row>
    <row r="26" spans="1:8">
      <c r="A26" s="2" t="s">
        <v>12</v>
      </c>
      <c r="B26" s="2">
        <f>IFERROR(SUMIFS('Student Data'!$L$2:$L$151,'Student Data'!$C$2:$C$151,A26,'Student Data'!$E$2:$E$151,IF($E$3="All","*",$E$3))/COUNTIFS('Student Data'!$C$2:$C$151,A26,'Student Data'!$E$2:$E$151,IF($E$3="All","*",$E$3)),0)</f>
        <v>65.124999999999986</v>
      </c>
      <c r="D26" t="s">
        <v>13</v>
      </c>
      <c r="E26" s="2">
        <f>IFERROR(SUMIFS('Student Data'!$F$2:$F$151,'Student Data'!$C$2:$C$151,IF($B$3="All","*",$B$3),'Student Data'!$E$2:$E$151,IF($E$3="All","*",$E$3))/COUNTIFS('Student Data'!$C$2:$C$151,IF($B$3="All","*",$B$3),'Student Data'!$E$2:$E$151,IF($E$3="All","*",$E$3)),0)</f>
        <v>78.090909090909093</v>
      </c>
      <c r="G26" t="s">
        <v>14</v>
      </c>
      <c r="H26">
        <f>COUNTIFS('Student Data'!$C$2:$C$151,IF($B$3="All","*",$B$3),'Student Data'!$E$2:$E$151,IF($E$3="All","*",$E$3),'Student Data'!$M$2:$M$151,G26)</f>
        <v>21</v>
      </c>
    </row>
    <row r="27" spans="1:8">
      <c r="A27" s="2" t="s">
        <v>15</v>
      </c>
      <c r="B27" s="2">
        <f>IFERROR(SUMIFS('Student Data'!$L$2:$L$151,'Student Data'!$C$2:$C$151,A27,'Student Data'!$E$2:$E$151,IF($E$3="All","*",$E$3))/COUNTIFS('Student Data'!$C$2:$C$151,A27,'Student Data'!$E$2:$E$151,IF($E$3="All","*",$E$3)),0)</f>
        <v>66.971428571428575</v>
      </c>
      <c r="D27" t="s">
        <v>16</v>
      </c>
      <c r="E27" s="2">
        <f>IFERROR(SUMIFS('Student Data'!$G$2:$G$151,'Student Data'!$C$2:$C$151,IF($B$3="All","*",$B$3),'Student Data'!$E$2:$E$151,IF($E$3="All","*",$E$3))/COUNTIFS('Student Data'!$C$2:$C$151,IF($B$3="All","*",$B$3),'Student Data'!$E$2:$E$151,IF($E$3="All","*",$E$3)),0)</f>
        <v>69.727272727272734</v>
      </c>
      <c r="G27" t="s">
        <v>17</v>
      </c>
      <c r="H27">
        <f>COUNTIFS('Student Data'!$C$2:$C$151,IF($B$3="All","*",$B$3),'Student Data'!$E$2:$E$151,IF($E$3="All","*",$E$3),'Student Data'!$M$2:$M$151,G27)</f>
        <v>1</v>
      </c>
    </row>
    <row r="28" spans="1:8">
      <c r="A28" s="2" t="s">
        <v>18</v>
      </c>
      <c r="B28" s="2">
        <f>IFERROR(SUMIFS('Student Data'!$L$2:$L$151,'Student Data'!$C$2:$C$151,A28,'Student Data'!$E$2:$E$151,IF($E$3="All","*",$E$3))/COUNTIFS('Student Data'!$C$2:$C$151,A28,'Student Data'!$E$2:$E$151,IF($E$3="All","*",$E$3)),0)</f>
        <v>73.581818181818178</v>
      </c>
      <c r="D28" t="s">
        <v>19</v>
      </c>
      <c r="E28" s="2">
        <f>IFERROR(SUMIFS('Student Data'!$H$2:$H$151,'Student Data'!$C$2:$C$151,IF($B$3="All","*",$B$3),'Student Data'!$E$2:$E$151,IF($E$3="All","*",$E$3))/COUNTIFS('Student Data'!$C$2:$C$151,IF($B$3="All","*",$B$3),'Student Data'!$E$2:$E$151,IF($E$3="All","*",$E$3)),0)</f>
        <v>71.545454545454547</v>
      </c>
    </row>
    <row r="29" spans="1:8">
      <c r="D29" t="s">
        <v>20</v>
      </c>
      <c r="E29" s="2">
        <f>IFERROR(SUMIFS('Student Data'!$I$2:$I$151,'Student Data'!$C$2:$C$151,IF($B$3="All","*",$B$3),'Student Data'!$E$2:$E$151,IF($E$3="All","*",$E$3))/COUNTIFS('Student Data'!$C$2:$C$151,IF($B$3="All","*",$B$3),'Student Data'!$E$2:$E$151,IF($E$3="All","*",$E$3)),0)</f>
        <v>74.954545454545453</v>
      </c>
    </row>
  </sheetData>
  <mergeCells count="10">
    <mergeCell ref="A1:N1"/>
    <mergeCell ref="A4:H4"/>
    <mergeCell ref="A6:C6"/>
    <mergeCell ref="A7:C8"/>
    <mergeCell ref="D6:F6"/>
    <mergeCell ref="D7:F8"/>
    <mergeCell ref="G6:I6"/>
    <mergeCell ref="G7:I8"/>
    <mergeCell ref="J6:L6"/>
    <mergeCell ref="J7:L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'Filter Lists'!$A$2:$A$5</xm:f>
          </x14:formula1>
          <xm:sqref>B3</xm:sqref>
        </x14:dataValidation>
        <x14:dataValidation type="list" xr:uid="{00000000-0002-0000-0000-000001000000}">
          <x14:formula1>
            <xm:f>'Filter Lists'!$B$2:$B$4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workbookViewId="0">
      <pane ySplit="1" topLeftCell="A2" activePane="bottomLeft" state="frozen"/>
      <selection pane="bottomLeft" activeCell="C18" sqref="C18"/>
    </sheetView>
  </sheetViews>
  <sheetFormatPr defaultRowHeight="13.8"/>
  <cols>
    <col min="1" max="1" width="14" customWidth="1"/>
    <col min="2" max="2" width="22" customWidth="1"/>
    <col min="3" max="13" width="14" customWidth="1"/>
  </cols>
  <sheetData>
    <row r="1" spans="1:13" ht="24" customHeight="1">
      <c r="A1" s="1" t="s">
        <v>21</v>
      </c>
      <c r="B1" s="1" t="s">
        <v>22</v>
      </c>
      <c r="C1" s="1" t="s">
        <v>8</v>
      </c>
      <c r="D1" s="1" t="s">
        <v>23</v>
      </c>
      <c r="E1" s="1" t="s">
        <v>24</v>
      </c>
      <c r="F1" s="1" t="s">
        <v>13</v>
      </c>
      <c r="G1" s="1" t="s">
        <v>16</v>
      </c>
      <c r="H1" s="1" t="s">
        <v>19</v>
      </c>
      <c r="I1" s="1" t="s">
        <v>20</v>
      </c>
      <c r="J1" s="1" t="s">
        <v>25</v>
      </c>
      <c r="K1" s="1" t="s">
        <v>26</v>
      </c>
      <c r="L1" s="1" t="s">
        <v>27</v>
      </c>
      <c r="M1" s="1" t="s">
        <v>11</v>
      </c>
    </row>
    <row r="2" spans="1:13">
      <c r="A2" t="s">
        <v>28</v>
      </c>
      <c r="B2" t="s">
        <v>29</v>
      </c>
      <c r="C2" t="s">
        <v>12</v>
      </c>
      <c r="D2" t="s">
        <v>30</v>
      </c>
      <c r="E2" t="s">
        <v>31</v>
      </c>
      <c r="F2" s="2">
        <v>100</v>
      </c>
      <c r="G2" s="2">
        <v>91</v>
      </c>
      <c r="H2" s="2">
        <v>92</v>
      </c>
      <c r="I2" s="2">
        <v>100</v>
      </c>
      <c r="J2" s="2">
        <v>65</v>
      </c>
      <c r="K2" s="2">
        <v>383</v>
      </c>
      <c r="L2" s="2">
        <v>95.8</v>
      </c>
      <c r="M2" t="s">
        <v>14</v>
      </c>
    </row>
    <row r="3" spans="1:13">
      <c r="A3" t="s">
        <v>32</v>
      </c>
      <c r="B3" t="s">
        <v>33</v>
      </c>
      <c r="C3" t="s">
        <v>18</v>
      </c>
      <c r="D3" t="s">
        <v>34</v>
      </c>
      <c r="E3" t="s">
        <v>35</v>
      </c>
      <c r="F3" s="2">
        <v>37</v>
      </c>
      <c r="G3" s="2">
        <v>89</v>
      </c>
      <c r="H3" s="2">
        <v>100</v>
      </c>
      <c r="I3" s="2">
        <v>77</v>
      </c>
      <c r="J3" s="2">
        <v>83</v>
      </c>
      <c r="K3" s="2">
        <v>303</v>
      </c>
      <c r="L3" s="2">
        <v>75.8</v>
      </c>
      <c r="M3" t="s">
        <v>14</v>
      </c>
    </row>
    <row r="4" spans="1:13">
      <c r="A4" t="s">
        <v>36</v>
      </c>
      <c r="B4" t="s">
        <v>37</v>
      </c>
      <c r="C4" t="s">
        <v>15</v>
      </c>
      <c r="D4" t="s">
        <v>30</v>
      </c>
      <c r="E4" t="s">
        <v>35</v>
      </c>
      <c r="F4" s="2">
        <v>88</v>
      </c>
      <c r="G4" s="2">
        <v>75</v>
      </c>
      <c r="H4" s="2">
        <v>67</v>
      </c>
      <c r="I4" s="2">
        <v>65</v>
      </c>
      <c r="J4" s="2">
        <v>73</v>
      </c>
      <c r="K4" s="2">
        <v>295</v>
      </c>
      <c r="L4" s="2">
        <v>73.8</v>
      </c>
      <c r="M4" t="s">
        <v>14</v>
      </c>
    </row>
    <row r="5" spans="1:13">
      <c r="A5" t="s">
        <v>38</v>
      </c>
      <c r="B5" t="s">
        <v>39</v>
      </c>
      <c r="C5" t="s">
        <v>12</v>
      </c>
      <c r="D5" t="s">
        <v>40</v>
      </c>
      <c r="E5" t="s">
        <v>35</v>
      </c>
      <c r="F5" s="2">
        <v>56</v>
      </c>
      <c r="G5" s="2">
        <v>56</v>
      </c>
      <c r="H5" s="2">
        <v>56</v>
      </c>
      <c r="I5" s="2">
        <v>35</v>
      </c>
      <c r="J5" s="2">
        <v>85</v>
      </c>
      <c r="K5" s="2">
        <v>203</v>
      </c>
      <c r="L5" s="2">
        <v>50.8</v>
      </c>
      <c r="M5" t="s">
        <v>14</v>
      </c>
    </row>
    <row r="6" spans="1:13">
      <c r="A6" t="s">
        <v>41</v>
      </c>
      <c r="B6" t="s">
        <v>42</v>
      </c>
      <c r="C6" t="s">
        <v>18</v>
      </c>
      <c r="D6" t="s">
        <v>40</v>
      </c>
      <c r="E6" t="s">
        <v>35</v>
      </c>
      <c r="F6" s="2">
        <v>43</v>
      </c>
      <c r="G6" s="2">
        <v>57</v>
      </c>
      <c r="H6" s="2">
        <v>32</v>
      </c>
      <c r="I6" s="2">
        <v>23</v>
      </c>
      <c r="J6" s="2">
        <v>68</v>
      </c>
      <c r="K6" s="2">
        <v>155</v>
      </c>
      <c r="L6" s="2">
        <v>38.799999999999997</v>
      </c>
      <c r="M6" t="s">
        <v>17</v>
      </c>
    </row>
    <row r="7" spans="1:13">
      <c r="A7" t="s">
        <v>43</v>
      </c>
      <c r="B7" t="s">
        <v>44</v>
      </c>
      <c r="C7" t="s">
        <v>15</v>
      </c>
      <c r="D7" t="s">
        <v>40</v>
      </c>
      <c r="E7" t="s">
        <v>35</v>
      </c>
      <c r="F7" s="2">
        <v>48</v>
      </c>
      <c r="G7" s="2">
        <v>52</v>
      </c>
      <c r="H7" s="2">
        <v>34</v>
      </c>
      <c r="I7" s="2">
        <v>36</v>
      </c>
      <c r="J7" s="2">
        <v>74</v>
      </c>
      <c r="K7" s="2">
        <v>170</v>
      </c>
      <c r="L7" s="2">
        <v>42.5</v>
      </c>
      <c r="M7" t="s">
        <v>17</v>
      </c>
    </row>
    <row r="8" spans="1:13">
      <c r="A8" t="s">
        <v>45</v>
      </c>
      <c r="B8" t="s">
        <v>46</v>
      </c>
      <c r="C8" t="s">
        <v>12</v>
      </c>
      <c r="D8" t="s">
        <v>30</v>
      </c>
      <c r="E8" t="s">
        <v>35</v>
      </c>
      <c r="F8" s="2">
        <v>71</v>
      </c>
      <c r="G8" s="2">
        <v>47</v>
      </c>
      <c r="H8" s="2">
        <v>97</v>
      </c>
      <c r="I8" s="2">
        <v>79</v>
      </c>
      <c r="J8" s="2">
        <v>74</v>
      </c>
      <c r="K8" s="2">
        <v>294</v>
      </c>
      <c r="L8" s="2">
        <v>73.5</v>
      </c>
      <c r="M8" t="s">
        <v>14</v>
      </c>
    </row>
    <row r="9" spans="1:13">
      <c r="A9" t="s">
        <v>47</v>
      </c>
      <c r="B9" t="s">
        <v>42</v>
      </c>
      <c r="C9" t="s">
        <v>12</v>
      </c>
      <c r="D9" t="s">
        <v>34</v>
      </c>
      <c r="E9" t="s">
        <v>31</v>
      </c>
      <c r="F9" s="2">
        <v>88</v>
      </c>
      <c r="G9" s="2">
        <v>85</v>
      </c>
      <c r="H9" s="2">
        <v>95</v>
      </c>
      <c r="I9" s="2">
        <v>48</v>
      </c>
      <c r="J9" s="2">
        <v>99</v>
      </c>
      <c r="K9" s="2">
        <v>316</v>
      </c>
      <c r="L9" s="2">
        <v>79</v>
      </c>
      <c r="M9" t="s">
        <v>14</v>
      </c>
    </row>
    <row r="10" spans="1:13">
      <c r="A10" t="s">
        <v>48</v>
      </c>
      <c r="B10" t="s">
        <v>49</v>
      </c>
      <c r="C10" t="s">
        <v>12</v>
      </c>
      <c r="D10" t="s">
        <v>30</v>
      </c>
      <c r="E10" t="s">
        <v>31</v>
      </c>
      <c r="F10" s="2">
        <v>76</v>
      </c>
      <c r="G10" s="2">
        <v>71</v>
      </c>
      <c r="H10" s="2">
        <v>61</v>
      </c>
      <c r="I10" s="2">
        <v>89</v>
      </c>
      <c r="J10" s="2">
        <v>84</v>
      </c>
      <c r="K10" s="2">
        <v>297</v>
      </c>
      <c r="L10" s="2">
        <v>74.2</v>
      </c>
      <c r="M10" t="s">
        <v>14</v>
      </c>
    </row>
    <row r="11" spans="1:13">
      <c r="A11" t="s">
        <v>50</v>
      </c>
      <c r="B11" t="s">
        <v>51</v>
      </c>
      <c r="C11" t="s">
        <v>12</v>
      </c>
      <c r="D11" t="s">
        <v>30</v>
      </c>
      <c r="E11" t="s">
        <v>35</v>
      </c>
      <c r="F11" s="2">
        <v>71</v>
      </c>
      <c r="G11" s="2">
        <v>68</v>
      </c>
      <c r="H11" s="2">
        <v>80</v>
      </c>
      <c r="I11" s="2">
        <v>69</v>
      </c>
      <c r="J11" s="2">
        <v>75</v>
      </c>
      <c r="K11" s="2">
        <v>288</v>
      </c>
      <c r="L11" s="2">
        <v>72</v>
      </c>
      <c r="M11" t="s">
        <v>14</v>
      </c>
    </row>
    <row r="12" spans="1:13">
      <c r="A12" t="s">
        <v>52</v>
      </c>
      <c r="B12" t="s">
        <v>53</v>
      </c>
      <c r="C12" t="s">
        <v>15</v>
      </c>
      <c r="D12" t="s">
        <v>34</v>
      </c>
      <c r="E12" t="s">
        <v>31</v>
      </c>
      <c r="F12" s="2">
        <v>57</v>
      </c>
      <c r="G12" s="2">
        <v>90</v>
      </c>
      <c r="H12" s="2">
        <v>69</v>
      </c>
      <c r="I12" s="2">
        <v>88</v>
      </c>
      <c r="J12" s="2">
        <v>91</v>
      </c>
      <c r="K12" s="2">
        <v>304</v>
      </c>
      <c r="L12" s="2">
        <v>76</v>
      </c>
      <c r="M12" t="s">
        <v>14</v>
      </c>
    </row>
    <row r="13" spans="1:13">
      <c r="A13" t="s">
        <v>54</v>
      </c>
      <c r="B13" t="s">
        <v>55</v>
      </c>
      <c r="C13" t="s">
        <v>15</v>
      </c>
      <c r="D13" t="s">
        <v>30</v>
      </c>
      <c r="E13" t="s">
        <v>31</v>
      </c>
      <c r="F13" s="2">
        <v>81</v>
      </c>
      <c r="G13" s="2">
        <v>77</v>
      </c>
      <c r="H13" s="2">
        <v>57</v>
      </c>
      <c r="I13" s="2">
        <v>46</v>
      </c>
      <c r="J13" s="2">
        <v>64</v>
      </c>
      <c r="K13" s="2">
        <v>261</v>
      </c>
      <c r="L13" s="2">
        <v>65.2</v>
      </c>
      <c r="M13" t="s">
        <v>14</v>
      </c>
    </row>
    <row r="14" spans="1:13">
      <c r="A14" t="s">
        <v>56</v>
      </c>
      <c r="B14" t="s">
        <v>57</v>
      </c>
      <c r="C14" t="s">
        <v>12</v>
      </c>
      <c r="D14" t="s">
        <v>34</v>
      </c>
      <c r="E14" t="s">
        <v>35</v>
      </c>
      <c r="F14" s="2">
        <v>63</v>
      </c>
      <c r="G14" s="2">
        <v>65</v>
      </c>
      <c r="H14" s="2">
        <v>31</v>
      </c>
      <c r="I14" s="2">
        <v>63</v>
      </c>
      <c r="J14" s="2">
        <v>99</v>
      </c>
      <c r="K14" s="2">
        <v>222</v>
      </c>
      <c r="L14" s="2">
        <v>55.5</v>
      </c>
      <c r="M14" t="s">
        <v>17</v>
      </c>
    </row>
    <row r="15" spans="1:13">
      <c r="A15" t="s">
        <v>58</v>
      </c>
      <c r="B15" t="s">
        <v>59</v>
      </c>
      <c r="C15" t="s">
        <v>15</v>
      </c>
      <c r="D15" t="s">
        <v>34</v>
      </c>
      <c r="E15" t="s">
        <v>31</v>
      </c>
      <c r="F15" s="2">
        <v>19</v>
      </c>
      <c r="G15" s="2">
        <v>47</v>
      </c>
      <c r="H15" s="2">
        <v>27</v>
      </c>
      <c r="I15" s="2">
        <v>45</v>
      </c>
      <c r="J15" s="2">
        <v>85</v>
      </c>
      <c r="K15" s="2">
        <v>138</v>
      </c>
      <c r="L15" s="2">
        <v>34.5</v>
      </c>
      <c r="M15" t="s">
        <v>17</v>
      </c>
    </row>
    <row r="16" spans="1:13">
      <c r="A16" t="s">
        <v>60</v>
      </c>
      <c r="B16" t="s">
        <v>61</v>
      </c>
      <c r="C16" t="s">
        <v>12</v>
      </c>
      <c r="D16" t="s">
        <v>30</v>
      </c>
      <c r="E16" t="s">
        <v>35</v>
      </c>
      <c r="F16" s="2">
        <v>89</v>
      </c>
      <c r="G16" s="2">
        <v>97</v>
      </c>
      <c r="H16" s="2">
        <v>81</v>
      </c>
      <c r="I16" s="2">
        <v>82</v>
      </c>
      <c r="J16" s="2">
        <v>75</v>
      </c>
      <c r="K16" s="2">
        <v>349</v>
      </c>
      <c r="L16" s="2">
        <v>87.2</v>
      </c>
      <c r="M16" t="s">
        <v>14</v>
      </c>
    </row>
    <row r="17" spans="1:13">
      <c r="A17" t="s">
        <v>62</v>
      </c>
      <c r="B17" t="s">
        <v>63</v>
      </c>
      <c r="C17" t="s">
        <v>18</v>
      </c>
      <c r="D17" t="s">
        <v>34</v>
      </c>
      <c r="E17" t="s">
        <v>35</v>
      </c>
      <c r="F17" s="2">
        <v>54</v>
      </c>
      <c r="G17" s="2">
        <v>75</v>
      </c>
      <c r="H17" s="2">
        <v>91</v>
      </c>
      <c r="I17" s="2">
        <v>72</v>
      </c>
      <c r="J17" s="2">
        <v>92</v>
      </c>
      <c r="K17" s="2">
        <v>292</v>
      </c>
      <c r="L17" s="2">
        <v>73</v>
      </c>
      <c r="M17" t="s">
        <v>14</v>
      </c>
    </row>
    <row r="18" spans="1:13">
      <c r="A18" t="s">
        <v>64</v>
      </c>
      <c r="B18" t="s">
        <v>65</v>
      </c>
      <c r="C18" t="s">
        <v>12</v>
      </c>
      <c r="D18" t="s">
        <v>30</v>
      </c>
      <c r="E18" t="s">
        <v>35</v>
      </c>
      <c r="F18" s="2">
        <v>59</v>
      </c>
      <c r="G18" s="2">
        <v>47</v>
      </c>
      <c r="H18" s="2">
        <v>56</v>
      </c>
      <c r="I18" s="2">
        <v>76</v>
      </c>
      <c r="J18" s="2">
        <v>77</v>
      </c>
      <c r="K18" s="2">
        <v>238</v>
      </c>
      <c r="L18" s="2">
        <v>59.5</v>
      </c>
      <c r="M18" t="s">
        <v>14</v>
      </c>
    </row>
    <row r="19" spans="1:13">
      <c r="A19" t="s">
        <v>66</v>
      </c>
      <c r="B19" t="s">
        <v>67</v>
      </c>
      <c r="C19" t="s">
        <v>18</v>
      </c>
      <c r="D19" t="s">
        <v>34</v>
      </c>
      <c r="E19" t="s">
        <v>35</v>
      </c>
      <c r="F19" s="2">
        <v>38</v>
      </c>
      <c r="G19" s="2">
        <v>23</v>
      </c>
      <c r="H19" s="2">
        <v>62</v>
      </c>
      <c r="I19" s="2">
        <v>37</v>
      </c>
      <c r="J19" s="2">
        <v>92</v>
      </c>
      <c r="K19" s="2">
        <v>160</v>
      </c>
      <c r="L19" s="2">
        <v>40</v>
      </c>
      <c r="M19" t="s">
        <v>17</v>
      </c>
    </row>
    <row r="20" spans="1:13">
      <c r="A20" t="s">
        <v>68</v>
      </c>
      <c r="B20" t="s">
        <v>69</v>
      </c>
      <c r="C20" t="s">
        <v>15</v>
      </c>
      <c r="D20" t="s">
        <v>30</v>
      </c>
      <c r="E20" t="s">
        <v>35</v>
      </c>
      <c r="F20" s="2">
        <v>59</v>
      </c>
      <c r="G20" s="2">
        <v>52</v>
      </c>
      <c r="H20" s="2">
        <v>87</v>
      </c>
      <c r="I20" s="2">
        <v>75</v>
      </c>
      <c r="J20" s="2">
        <v>77</v>
      </c>
      <c r="K20" s="2">
        <v>273</v>
      </c>
      <c r="L20" s="2">
        <v>68.2</v>
      </c>
      <c r="M20" t="s">
        <v>14</v>
      </c>
    </row>
    <row r="21" spans="1:13">
      <c r="A21" t="s">
        <v>70</v>
      </c>
      <c r="B21" t="s">
        <v>49</v>
      </c>
      <c r="C21" t="s">
        <v>15</v>
      </c>
      <c r="D21" t="s">
        <v>34</v>
      </c>
      <c r="E21" t="s">
        <v>35</v>
      </c>
      <c r="F21" s="2">
        <v>82</v>
      </c>
      <c r="G21" s="2">
        <v>49</v>
      </c>
      <c r="H21" s="2">
        <v>59</v>
      </c>
      <c r="I21" s="2">
        <v>70</v>
      </c>
      <c r="J21" s="2">
        <v>71</v>
      </c>
      <c r="K21" s="2">
        <v>260</v>
      </c>
      <c r="L21" s="2">
        <v>65</v>
      </c>
      <c r="M21" t="s">
        <v>14</v>
      </c>
    </row>
    <row r="22" spans="1:13">
      <c r="A22" t="s">
        <v>71</v>
      </c>
      <c r="B22" t="s">
        <v>72</v>
      </c>
      <c r="C22" t="s">
        <v>15</v>
      </c>
      <c r="D22" t="s">
        <v>30</v>
      </c>
      <c r="E22" t="s">
        <v>31</v>
      </c>
      <c r="F22" s="2">
        <v>71</v>
      </c>
      <c r="G22" s="2">
        <v>87</v>
      </c>
      <c r="H22" s="2">
        <v>84</v>
      </c>
      <c r="I22" s="2">
        <v>70</v>
      </c>
      <c r="J22" s="2">
        <v>79</v>
      </c>
      <c r="K22" s="2">
        <v>312</v>
      </c>
      <c r="L22" s="2">
        <v>78</v>
      </c>
      <c r="M22" t="s">
        <v>14</v>
      </c>
    </row>
    <row r="23" spans="1:13">
      <c r="A23" t="s">
        <v>73</v>
      </c>
      <c r="B23" t="s">
        <v>74</v>
      </c>
      <c r="C23" t="s">
        <v>15</v>
      </c>
      <c r="D23" t="s">
        <v>34</v>
      </c>
      <c r="E23" t="s">
        <v>31</v>
      </c>
      <c r="F23" s="2">
        <v>94</v>
      </c>
      <c r="G23" s="2">
        <v>69</v>
      </c>
      <c r="H23" s="2">
        <v>84</v>
      </c>
      <c r="I23" s="2">
        <v>95</v>
      </c>
      <c r="J23" s="2">
        <v>84</v>
      </c>
      <c r="K23" s="2">
        <v>342</v>
      </c>
      <c r="L23" s="2">
        <v>85.5</v>
      </c>
      <c r="M23" t="s">
        <v>14</v>
      </c>
    </row>
    <row r="24" spans="1:13">
      <c r="A24" t="s">
        <v>75</v>
      </c>
      <c r="B24" t="s">
        <v>76</v>
      </c>
      <c r="C24" t="s">
        <v>18</v>
      </c>
      <c r="D24" t="s">
        <v>30</v>
      </c>
      <c r="E24" t="s">
        <v>35</v>
      </c>
      <c r="F24" s="2">
        <v>70</v>
      </c>
      <c r="G24" s="2">
        <v>82</v>
      </c>
      <c r="H24" s="2">
        <v>100</v>
      </c>
      <c r="I24" s="2">
        <v>85</v>
      </c>
      <c r="J24" s="2">
        <v>87</v>
      </c>
      <c r="K24" s="2">
        <v>337</v>
      </c>
      <c r="L24" s="2">
        <v>84.2</v>
      </c>
      <c r="M24" t="s">
        <v>14</v>
      </c>
    </row>
    <row r="25" spans="1:13">
      <c r="A25" t="s">
        <v>77</v>
      </c>
      <c r="B25" t="s">
        <v>78</v>
      </c>
      <c r="C25" t="s">
        <v>18</v>
      </c>
      <c r="D25" t="s">
        <v>34</v>
      </c>
      <c r="E25" t="s">
        <v>35</v>
      </c>
      <c r="F25" s="2">
        <v>69</v>
      </c>
      <c r="G25" s="2">
        <v>72</v>
      </c>
      <c r="H25" s="2">
        <v>99</v>
      </c>
      <c r="I25" s="2">
        <v>73</v>
      </c>
      <c r="J25" s="2">
        <v>74</v>
      </c>
      <c r="K25" s="2">
        <v>313</v>
      </c>
      <c r="L25" s="2">
        <v>78.2</v>
      </c>
      <c r="M25" t="s">
        <v>14</v>
      </c>
    </row>
    <row r="26" spans="1:13">
      <c r="A26" t="s">
        <v>79</v>
      </c>
      <c r="B26" t="s">
        <v>80</v>
      </c>
      <c r="C26" t="s">
        <v>15</v>
      </c>
      <c r="D26" t="s">
        <v>30</v>
      </c>
      <c r="E26" t="s">
        <v>31</v>
      </c>
      <c r="F26" s="2">
        <v>41</v>
      </c>
      <c r="G26" s="2">
        <v>89</v>
      </c>
      <c r="H26" s="2">
        <v>68</v>
      </c>
      <c r="I26" s="2">
        <v>52</v>
      </c>
      <c r="J26" s="2">
        <v>88</v>
      </c>
      <c r="K26" s="2">
        <v>250</v>
      </c>
      <c r="L26" s="2">
        <v>62.5</v>
      </c>
      <c r="M26" t="s">
        <v>14</v>
      </c>
    </row>
    <row r="27" spans="1:13">
      <c r="A27" t="s">
        <v>81</v>
      </c>
      <c r="B27" t="s">
        <v>82</v>
      </c>
      <c r="C27" t="s">
        <v>12</v>
      </c>
      <c r="D27" t="s">
        <v>34</v>
      </c>
      <c r="E27" t="s">
        <v>31</v>
      </c>
      <c r="F27" s="2">
        <v>70</v>
      </c>
      <c r="G27" s="2">
        <v>24</v>
      </c>
      <c r="H27" s="2">
        <v>47</v>
      </c>
      <c r="I27" s="2">
        <v>51</v>
      </c>
      <c r="J27" s="2">
        <v>90</v>
      </c>
      <c r="K27" s="2">
        <v>192</v>
      </c>
      <c r="L27" s="2">
        <v>48</v>
      </c>
      <c r="M27" t="s">
        <v>17</v>
      </c>
    </row>
    <row r="28" spans="1:13">
      <c r="A28" t="s">
        <v>83</v>
      </c>
      <c r="B28" t="s">
        <v>84</v>
      </c>
      <c r="C28" t="s">
        <v>12</v>
      </c>
      <c r="D28" t="s">
        <v>34</v>
      </c>
      <c r="E28" t="s">
        <v>31</v>
      </c>
      <c r="F28" s="2">
        <v>68</v>
      </c>
      <c r="G28" s="2">
        <v>55</v>
      </c>
      <c r="H28" s="2">
        <v>55</v>
      </c>
      <c r="I28" s="2">
        <v>76</v>
      </c>
      <c r="J28" s="2">
        <v>71</v>
      </c>
      <c r="K28" s="2">
        <v>254</v>
      </c>
      <c r="L28" s="2">
        <v>63.5</v>
      </c>
      <c r="M28" t="s">
        <v>14</v>
      </c>
    </row>
    <row r="29" spans="1:13">
      <c r="A29" t="s">
        <v>85</v>
      </c>
      <c r="B29" t="s">
        <v>86</v>
      </c>
      <c r="C29" t="s">
        <v>18</v>
      </c>
      <c r="D29" t="s">
        <v>30</v>
      </c>
      <c r="E29" t="s">
        <v>35</v>
      </c>
      <c r="F29" s="2">
        <v>39</v>
      </c>
      <c r="G29" s="2">
        <v>49</v>
      </c>
      <c r="H29" s="2">
        <v>78</v>
      </c>
      <c r="I29" s="2">
        <v>41</v>
      </c>
      <c r="J29" s="2">
        <v>97</v>
      </c>
      <c r="K29" s="2">
        <v>207</v>
      </c>
      <c r="L29" s="2">
        <v>51.8</v>
      </c>
      <c r="M29" t="s">
        <v>14</v>
      </c>
    </row>
    <row r="30" spans="1:13">
      <c r="A30" t="s">
        <v>87</v>
      </c>
      <c r="B30" t="s">
        <v>88</v>
      </c>
      <c r="C30" t="s">
        <v>18</v>
      </c>
      <c r="D30" t="s">
        <v>40</v>
      </c>
      <c r="E30" t="s">
        <v>35</v>
      </c>
      <c r="F30" s="2">
        <v>28</v>
      </c>
      <c r="G30" s="2">
        <v>50</v>
      </c>
      <c r="H30" s="2">
        <v>49</v>
      </c>
      <c r="I30" s="2">
        <v>66</v>
      </c>
      <c r="J30" s="2">
        <v>78</v>
      </c>
      <c r="K30" s="2">
        <v>193</v>
      </c>
      <c r="L30" s="2">
        <v>48.2</v>
      </c>
      <c r="M30" t="s">
        <v>17</v>
      </c>
    </row>
    <row r="31" spans="1:13">
      <c r="A31" t="s">
        <v>89</v>
      </c>
      <c r="B31" t="s">
        <v>90</v>
      </c>
      <c r="C31" t="s">
        <v>18</v>
      </c>
      <c r="D31" t="s">
        <v>34</v>
      </c>
      <c r="E31" t="s">
        <v>31</v>
      </c>
      <c r="F31" s="2">
        <v>48</v>
      </c>
      <c r="G31" s="2">
        <v>40</v>
      </c>
      <c r="H31" s="2">
        <v>45</v>
      </c>
      <c r="I31" s="2">
        <v>53</v>
      </c>
      <c r="J31" s="2">
        <v>94</v>
      </c>
      <c r="K31" s="2">
        <v>186</v>
      </c>
      <c r="L31" s="2">
        <v>46.5</v>
      </c>
      <c r="M31" t="s">
        <v>14</v>
      </c>
    </row>
    <row r="32" spans="1:13">
      <c r="A32" t="s">
        <v>91</v>
      </c>
      <c r="B32" t="s">
        <v>80</v>
      </c>
      <c r="C32" t="s">
        <v>18</v>
      </c>
      <c r="D32" t="s">
        <v>30</v>
      </c>
      <c r="E32" t="s">
        <v>35</v>
      </c>
      <c r="F32" s="2">
        <v>92</v>
      </c>
      <c r="G32" s="2">
        <v>61</v>
      </c>
      <c r="H32" s="2">
        <v>42</v>
      </c>
      <c r="I32" s="2">
        <v>69</v>
      </c>
      <c r="J32" s="2">
        <v>70</v>
      </c>
      <c r="K32" s="2">
        <v>264</v>
      </c>
      <c r="L32" s="2">
        <v>66</v>
      </c>
      <c r="M32" t="s">
        <v>14</v>
      </c>
    </row>
    <row r="33" spans="1:13">
      <c r="A33" t="s">
        <v>92</v>
      </c>
      <c r="B33" t="s">
        <v>93</v>
      </c>
      <c r="C33" t="s">
        <v>15</v>
      </c>
      <c r="D33" t="s">
        <v>40</v>
      </c>
      <c r="E33" t="s">
        <v>31</v>
      </c>
      <c r="F33" s="2">
        <v>98</v>
      </c>
      <c r="G33" s="2">
        <v>100</v>
      </c>
      <c r="H33" s="2">
        <v>95</v>
      </c>
      <c r="I33" s="2">
        <v>91</v>
      </c>
      <c r="J33" s="2">
        <v>66</v>
      </c>
      <c r="K33" s="2">
        <v>384</v>
      </c>
      <c r="L33" s="2">
        <v>96</v>
      </c>
      <c r="M33" t="s">
        <v>14</v>
      </c>
    </row>
    <row r="34" spans="1:13">
      <c r="A34" t="s">
        <v>94</v>
      </c>
      <c r="B34" t="s">
        <v>95</v>
      </c>
      <c r="C34" t="s">
        <v>18</v>
      </c>
      <c r="D34" t="s">
        <v>34</v>
      </c>
      <c r="E34" t="s">
        <v>35</v>
      </c>
      <c r="F34" s="2">
        <v>54</v>
      </c>
      <c r="G34" s="2">
        <v>45</v>
      </c>
      <c r="H34" s="2">
        <v>43</v>
      </c>
      <c r="I34" s="2">
        <v>46</v>
      </c>
      <c r="J34" s="2">
        <v>88</v>
      </c>
      <c r="K34" s="2">
        <v>188</v>
      </c>
      <c r="L34" s="2">
        <v>47</v>
      </c>
      <c r="M34" t="s">
        <v>14</v>
      </c>
    </row>
    <row r="35" spans="1:13">
      <c r="A35" t="s">
        <v>96</v>
      </c>
      <c r="B35" t="s">
        <v>97</v>
      </c>
      <c r="C35" t="s">
        <v>18</v>
      </c>
      <c r="D35" t="s">
        <v>40</v>
      </c>
      <c r="E35" t="s">
        <v>35</v>
      </c>
      <c r="F35" s="2">
        <v>69</v>
      </c>
      <c r="G35" s="2">
        <v>67</v>
      </c>
      <c r="H35" s="2">
        <v>53</v>
      </c>
      <c r="I35" s="2">
        <v>59</v>
      </c>
      <c r="J35" s="2">
        <v>84</v>
      </c>
      <c r="K35" s="2">
        <v>248</v>
      </c>
      <c r="L35" s="2">
        <v>62</v>
      </c>
      <c r="M35" t="s">
        <v>14</v>
      </c>
    </row>
    <row r="36" spans="1:13">
      <c r="A36" t="s">
        <v>98</v>
      </c>
      <c r="B36" t="s">
        <v>99</v>
      </c>
      <c r="C36" t="s">
        <v>12</v>
      </c>
      <c r="D36" t="s">
        <v>30</v>
      </c>
      <c r="E36" t="s">
        <v>35</v>
      </c>
      <c r="F36" s="2">
        <v>83</v>
      </c>
      <c r="G36" s="2">
        <v>68</v>
      </c>
      <c r="H36" s="2">
        <v>88</v>
      </c>
      <c r="I36" s="2">
        <v>100</v>
      </c>
      <c r="J36" s="2">
        <v>92</v>
      </c>
      <c r="K36" s="2">
        <v>339</v>
      </c>
      <c r="L36" s="2">
        <v>84.8</v>
      </c>
      <c r="M36" t="s">
        <v>14</v>
      </c>
    </row>
    <row r="37" spans="1:13">
      <c r="A37" t="s">
        <v>100</v>
      </c>
      <c r="B37" t="s">
        <v>101</v>
      </c>
      <c r="C37" t="s">
        <v>15</v>
      </c>
      <c r="D37" t="s">
        <v>34</v>
      </c>
      <c r="E37" t="s">
        <v>35</v>
      </c>
      <c r="F37" s="2">
        <v>63</v>
      </c>
      <c r="G37" s="2">
        <v>41</v>
      </c>
      <c r="H37" s="2">
        <v>62</v>
      </c>
      <c r="I37" s="2">
        <v>49</v>
      </c>
      <c r="J37" s="2">
        <v>75</v>
      </c>
      <c r="K37" s="2">
        <v>215</v>
      </c>
      <c r="L37" s="2">
        <v>53.8</v>
      </c>
      <c r="M37" t="s">
        <v>14</v>
      </c>
    </row>
    <row r="38" spans="1:13">
      <c r="A38" t="s">
        <v>102</v>
      </c>
      <c r="B38" t="s">
        <v>103</v>
      </c>
      <c r="C38" t="s">
        <v>12</v>
      </c>
      <c r="D38" t="s">
        <v>34</v>
      </c>
      <c r="E38" t="s">
        <v>31</v>
      </c>
      <c r="F38" s="2">
        <v>50</v>
      </c>
      <c r="G38" s="2">
        <v>50</v>
      </c>
      <c r="H38" s="2">
        <v>71</v>
      </c>
      <c r="I38" s="2">
        <v>67</v>
      </c>
      <c r="J38" s="2">
        <v>76</v>
      </c>
      <c r="K38" s="2">
        <v>238</v>
      </c>
      <c r="L38" s="2">
        <v>59.5</v>
      </c>
      <c r="M38" t="s">
        <v>14</v>
      </c>
    </row>
    <row r="39" spans="1:13">
      <c r="A39" t="s">
        <v>104</v>
      </c>
      <c r="B39" t="s">
        <v>105</v>
      </c>
      <c r="C39" t="s">
        <v>15</v>
      </c>
      <c r="D39" t="s">
        <v>34</v>
      </c>
      <c r="E39" t="s">
        <v>35</v>
      </c>
      <c r="F39" s="2">
        <v>60</v>
      </c>
      <c r="G39" s="2">
        <v>83</v>
      </c>
      <c r="H39" s="2">
        <v>58</v>
      </c>
      <c r="I39" s="2">
        <v>81</v>
      </c>
      <c r="J39" s="2">
        <v>64</v>
      </c>
      <c r="K39" s="2">
        <v>282</v>
      </c>
      <c r="L39" s="2">
        <v>70.5</v>
      </c>
      <c r="M39" t="s">
        <v>14</v>
      </c>
    </row>
    <row r="40" spans="1:13">
      <c r="A40" t="s">
        <v>106</v>
      </c>
      <c r="B40" t="s">
        <v>29</v>
      </c>
      <c r="C40" t="s">
        <v>18</v>
      </c>
      <c r="D40" t="s">
        <v>30</v>
      </c>
      <c r="E40" t="s">
        <v>35</v>
      </c>
      <c r="F40" s="2">
        <v>83</v>
      </c>
      <c r="G40" s="2">
        <v>81</v>
      </c>
      <c r="H40" s="2">
        <v>50</v>
      </c>
      <c r="I40" s="2">
        <v>55</v>
      </c>
      <c r="J40" s="2">
        <v>62</v>
      </c>
      <c r="K40" s="2">
        <v>269</v>
      </c>
      <c r="L40" s="2">
        <v>67.2</v>
      </c>
      <c r="M40" t="s">
        <v>14</v>
      </c>
    </row>
    <row r="41" spans="1:13">
      <c r="A41" t="s">
        <v>107</v>
      </c>
      <c r="B41" t="s">
        <v>108</v>
      </c>
      <c r="C41" t="s">
        <v>18</v>
      </c>
      <c r="D41" t="s">
        <v>40</v>
      </c>
      <c r="E41" t="s">
        <v>35</v>
      </c>
      <c r="F41" s="2">
        <v>60</v>
      </c>
      <c r="G41" s="2">
        <v>41</v>
      </c>
      <c r="H41" s="2">
        <v>64</v>
      </c>
      <c r="I41" s="2">
        <v>67</v>
      </c>
      <c r="J41" s="2">
        <v>87</v>
      </c>
      <c r="K41" s="2">
        <v>232</v>
      </c>
      <c r="L41" s="2">
        <v>58</v>
      </c>
      <c r="M41" t="s">
        <v>14</v>
      </c>
    </row>
    <row r="42" spans="1:13">
      <c r="A42" t="s">
        <v>109</v>
      </c>
      <c r="B42" t="s">
        <v>110</v>
      </c>
      <c r="C42" t="s">
        <v>15</v>
      </c>
      <c r="D42" t="s">
        <v>40</v>
      </c>
      <c r="E42" t="s">
        <v>31</v>
      </c>
      <c r="F42" s="2">
        <v>70</v>
      </c>
      <c r="G42" s="2">
        <v>66</v>
      </c>
      <c r="H42" s="2">
        <v>100</v>
      </c>
      <c r="I42" s="2">
        <v>89</v>
      </c>
      <c r="J42" s="2">
        <v>68</v>
      </c>
      <c r="K42" s="2">
        <v>325</v>
      </c>
      <c r="L42" s="2">
        <v>81.2</v>
      </c>
      <c r="M42" t="s">
        <v>14</v>
      </c>
    </row>
    <row r="43" spans="1:13">
      <c r="A43" t="s">
        <v>111</v>
      </c>
      <c r="B43" t="s">
        <v>112</v>
      </c>
      <c r="C43" t="s">
        <v>15</v>
      </c>
      <c r="D43" t="s">
        <v>30</v>
      </c>
      <c r="E43" t="s">
        <v>31</v>
      </c>
      <c r="F43" s="2">
        <v>68</v>
      </c>
      <c r="G43" s="2">
        <v>61</v>
      </c>
      <c r="H43" s="2">
        <v>56</v>
      </c>
      <c r="I43" s="2">
        <v>79</v>
      </c>
      <c r="J43" s="2">
        <v>81</v>
      </c>
      <c r="K43" s="2">
        <v>264</v>
      </c>
      <c r="L43" s="2">
        <v>66</v>
      </c>
      <c r="M43" t="s">
        <v>14</v>
      </c>
    </row>
    <row r="44" spans="1:13">
      <c r="A44" t="s">
        <v>113</v>
      </c>
      <c r="B44" t="s">
        <v>101</v>
      </c>
      <c r="C44" t="s">
        <v>12</v>
      </c>
      <c r="D44" t="s">
        <v>40</v>
      </c>
      <c r="E44" t="s">
        <v>35</v>
      </c>
      <c r="F44" s="2">
        <v>81</v>
      </c>
      <c r="G44" s="2">
        <v>62</v>
      </c>
      <c r="H44" s="2">
        <v>68</v>
      </c>
      <c r="I44" s="2">
        <v>58</v>
      </c>
      <c r="J44" s="2">
        <v>98</v>
      </c>
      <c r="K44" s="2">
        <v>269</v>
      </c>
      <c r="L44" s="2">
        <v>67.2</v>
      </c>
      <c r="M44" t="s">
        <v>14</v>
      </c>
    </row>
    <row r="45" spans="1:13">
      <c r="A45" t="s">
        <v>114</v>
      </c>
      <c r="B45" t="s">
        <v>115</v>
      </c>
      <c r="C45" t="s">
        <v>18</v>
      </c>
      <c r="D45" t="s">
        <v>40</v>
      </c>
      <c r="E45" t="s">
        <v>35</v>
      </c>
      <c r="F45" s="2">
        <v>39</v>
      </c>
      <c r="G45" s="2">
        <v>56</v>
      </c>
      <c r="H45" s="2">
        <v>31</v>
      </c>
      <c r="I45" s="2">
        <v>25</v>
      </c>
      <c r="J45" s="2">
        <v>95</v>
      </c>
      <c r="K45" s="2">
        <v>151</v>
      </c>
      <c r="L45" s="2">
        <v>37.799999999999997</v>
      </c>
      <c r="M45" t="s">
        <v>17</v>
      </c>
    </row>
    <row r="46" spans="1:13">
      <c r="A46" t="s">
        <v>116</v>
      </c>
      <c r="B46" t="s">
        <v>117</v>
      </c>
      <c r="C46" t="s">
        <v>12</v>
      </c>
      <c r="D46" t="s">
        <v>40</v>
      </c>
      <c r="E46" t="s">
        <v>31</v>
      </c>
      <c r="F46" s="2">
        <v>50</v>
      </c>
      <c r="G46" s="2">
        <v>58</v>
      </c>
      <c r="H46" s="2">
        <v>67</v>
      </c>
      <c r="I46" s="2">
        <v>57</v>
      </c>
      <c r="J46" s="2">
        <v>86</v>
      </c>
      <c r="K46" s="2">
        <v>232</v>
      </c>
      <c r="L46" s="2">
        <v>58</v>
      </c>
      <c r="M46" t="s">
        <v>14</v>
      </c>
    </row>
    <row r="47" spans="1:13">
      <c r="A47" t="s">
        <v>118</v>
      </c>
      <c r="B47" t="s">
        <v>119</v>
      </c>
      <c r="C47" t="s">
        <v>15</v>
      </c>
      <c r="D47" t="s">
        <v>30</v>
      </c>
      <c r="E47" t="s">
        <v>31</v>
      </c>
      <c r="F47" s="2">
        <v>78</v>
      </c>
      <c r="G47" s="2">
        <v>96</v>
      </c>
      <c r="H47" s="2">
        <v>100</v>
      </c>
      <c r="I47" s="2">
        <v>83</v>
      </c>
      <c r="J47" s="2">
        <v>96</v>
      </c>
      <c r="K47" s="2">
        <v>357</v>
      </c>
      <c r="L47" s="2">
        <v>89.2</v>
      </c>
      <c r="M47" t="s">
        <v>14</v>
      </c>
    </row>
    <row r="48" spans="1:13">
      <c r="A48" t="s">
        <v>120</v>
      </c>
      <c r="B48" t="s">
        <v>121</v>
      </c>
      <c r="C48" t="s">
        <v>12</v>
      </c>
      <c r="D48" t="s">
        <v>34</v>
      </c>
      <c r="E48" t="s">
        <v>35</v>
      </c>
      <c r="F48" s="2">
        <v>88</v>
      </c>
      <c r="G48" s="2">
        <v>92</v>
      </c>
      <c r="H48" s="2">
        <v>100</v>
      </c>
      <c r="I48" s="2">
        <v>77</v>
      </c>
      <c r="J48" s="2">
        <v>98</v>
      </c>
      <c r="K48" s="2">
        <v>357</v>
      </c>
      <c r="L48" s="2">
        <v>89.2</v>
      </c>
      <c r="M48" t="s">
        <v>14</v>
      </c>
    </row>
    <row r="49" spans="1:13">
      <c r="A49" t="s">
        <v>122</v>
      </c>
      <c r="B49" t="s">
        <v>123</v>
      </c>
      <c r="C49" t="s">
        <v>18</v>
      </c>
      <c r="D49" t="s">
        <v>34</v>
      </c>
      <c r="E49" t="s">
        <v>31</v>
      </c>
      <c r="F49" s="2">
        <v>81</v>
      </c>
      <c r="G49" s="2">
        <v>81</v>
      </c>
      <c r="H49" s="2">
        <v>63</v>
      </c>
      <c r="I49" s="2">
        <v>65</v>
      </c>
      <c r="J49" s="2">
        <v>96</v>
      </c>
      <c r="K49" s="2">
        <v>290</v>
      </c>
      <c r="L49" s="2">
        <v>72.5</v>
      </c>
      <c r="M49" t="s">
        <v>14</v>
      </c>
    </row>
    <row r="50" spans="1:13">
      <c r="A50" t="s">
        <v>124</v>
      </c>
      <c r="B50" t="s">
        <v>125</v>
      </c>
      <c r="C50" t="s">
        <v>18</v>
      </c>
      <c r="D50" t="s">
        <v>30</v>
      </c>
      <c r="E50" t="s">
        <v>31</v>
      </c>
      <c r="F50" s="2">
        <v>89</v>
      </c>
      <c r="G50" s="2">
        <v>100</v>
      </c>
      <c r="H50" s="2">
        <v>85</v>
      </c>
      <c r="I50" s="2">
        <v>81</v>
      </c>
      <c r="J50" s="2">
        <v>68</v>
      </c>
      <c r="K50" s="2">
        <v>355</v>
      </c>
      <c r="L50" s="2">
        <v>88.8</v>
      </c>
      <c r="M50" t="s">
        <v>14</v>
      </c>
    </row>
    <row r="51" spans="1:13">
      <c r="A51" t="s">
        <v>126</v>
      </c>
      <c r="B51" t="s">
        <v>127</v>
      </c>
      <c r="C51" t="s">
        <v>12</v>
      </c>
      <c r="D51" t="s">
        <v>40</v>
      </c>
      <c r="E51" t="s">
        <v>35</v>
      </c>
      <c r="F51" s="2">
        <v>62</v>
      </c>
      <c r="G51" s="2">
        <v>29</v>
      </c>
      <c r="H51" s="2">
        <v>11</v>
      </c>
      <c r="I51" s="2">
        <v>38</v>
      </c>
      <c r="J51" s="2">
        <v>84</v>
      </c>
      <c r="K51" s="2">
        <v>140</v>
      </c>
      <c r="L51" s="2">
        <v>35</v>
      </c>
      <c r="M51" t="s">
        <v>17</v>
      </c>
    </row>
    <row r="52" spans="1:13">
      <c r="A52" t="s">
        <v>128</v>
      </c>
      <c r="B52" t="s">
        <v>129</v>
      </c>
      <c r="C52" t="s">
        <v>12</v>
      </c>
      <c r="D52" t="s">
        <v>34</v>
      </c>
      <c r="E52" t="s">
        <v>35</v>
      </c>
      <c r="F52" s="2">
        <v>47</v>
      </c>
      <c r="G52" s="2">
        <v>34</v>
      </c>
      <c r="H52" s="2">
        <v>26</v>
      </c>
      <c r="I52" s="2">
        <v>57</v>
      </c>
      <c r="J52" s="2">
        <v>85</v>
      </c>
      <c r="K52" s="2">
        <v>164</v>
      </c>
      <c r="L52" s="2">
        <v>41</v>
      </c>
      <c r="M52" t="s">
        <v>17</v>
      </c>
    </row>
    <row r="53" spans="1:13">
      <c r="A53" t="s">
        <v>130</v>
      </c>
      <c r="B53" t="s">
        <v>131</v>
      </c>
      <c r="C53" t="s">
        <v>15</v>
      </c>
      <c r="D53" t="s">
        <v>40</v>
      </c>
      <c r="E53" t="s">
        <v>31</v>
      </c>
      <c r="F53" s="2">
        <v>76</v>
      </c>
      <c r="G53" s="2">
        <v>78</v>
      </c>
      <c r="H53" s="2">
        <v>95</v>
      </c>
      <c r="I53" s="2">
        <v>97</v>
      </c>
      <c r="J53" s="2">
        <v>77</v>
      </c>
      <c r="K53" s="2">
        <v>346</v>
      </c>
      <c r="L53" s="2">
        <v>86.5</v>
      </c>
      <c r="M53" t="s">
        <v>14</v>
      </c>
    </row>
    <row r="54" spans="1:13">
      <c r="A54" t="s">
        <v>132</v>
      </c>
      <c r="B54" t="s">
        <v>133</v>
      </c>
      <c r="C54" t="s">
        <v>18</v>
      </c>
      <c r="D54" t="s">
        <v>40</v>
      </c>
      <c r="E54" t="s">
        <v>31</v>
      </c>
      <c r="F54" s="2">
        <v>71</v>
      </c>
      <c r="G54" s="2">
        <v>93</v>
      </c>
      <c r="H54" s="2">
        <v>66</v>
      </c>
      <c r="I54" s="2">
        <v>68</v>
      </c>
      <c r="J54" s="2">
        <v>94</v>
      </c>
      <c r="K54" s="2">
        <v>298</v>
      </c>
      <c r="L54" s="2">
        <v>74.5</v>
      </c>
      <c r="M54" t="s">
        <v>14</v>
      </c>
    </row>
    <row r="55" spans="1:13">
      <c r="A55" t="s">
        <v>134</v>
      </c>
      <c r="B55" t="s">
        <v>135</v>
      </c>
      <c r="C55" t="s">
        <v>18</v>
      </c>
      <c r="D55" t="s">
        <v>40</v>
      </c>
      <c r="E55" t="s">
        <v>31</v>
      </c>
      <c r="F55" s="2">
        <v>80</v>
      </c>
      <c r="G55" s="2">
        <v>73</v>
      </c>
      <c r="H55" s="2">
        <v>68</v>
      </c>
      <c r="I55" s="2">
        <v>91</v>
      </c>
      <c r="J55" s="2">
        <v>87</v>
      </c>
      <c r="K55" s="2">
        <v>312</v>
      </c>
      <c r="L55" s="2">
        <v>78</v>
      </c>
      <c r="M55" t="s">
        <v>14</v>
      </c>
    </row>
    <row r="56" spans="1:13">
      <c r="A56" t="s">
        <v>136</v>
      </c>
      <c r="B56" t="s">
        <v>137</v>
      </c>
      <c r="C56" t="s">
        <v>15</v>
      </c>
      <c r="D56" t="s">
        <v>40</v>
      </c>
      <c r="E56" t="s">
        <v>31</v>
      </c>
      <c r="F56" s="2">
        <v>29</v>
      </c>
      <c r="G56" s="2">
        <v>33</v>
      </c>
      <c r="H56" s="2">
        <v>22</v>
      </c>
      <c r="I56" s="2">
        <v>56</v>
      </c>
      <c r="J56" s="2">
        <v>82</v>
      </c>
      <c r="K56" s="2">
        <v>140</v>
      </c>
      <c r="L56" s="2">
        <v>35</v>
      </c>
      <c r="M56" t="s">
        <v>17</v>
      </c>
    </row>
    <row r="57" spans="1:13">
      <c r="A57" t="s">
        <v>138</v>
      </c>
      <c r="B57" t="s">
        <v>139</v>
      </c>
      <c r="C57" t="s">
        <v>12</v>
      </c>
      <c r="D57" t="s">
        <v>40</v>
      </c>
      <c r="E57" t="s">
        <v>31</v>
      </c>
      <c r="F57" s="2">
        <v>35</v>
      </c>
      <c r="G57" s="2">
        <v>42</v>
      </c>
      <c r="H57" s="2">
        <v>32</v>
      </c>
      <c r="I57" s="2">
        <v>65</v>
      </c>
      <c r="J57" s="2">
        <v>93</v>
      </c>
      <c r="K57" s="2">
        <v>174</v>
      </c>
      <c r="L57" s="2">
        <v>43.5</v>
      </c>
      <c r="M57" t="s">
        <v>17</v>
      </c>
    </row>
    <row r="58" spans="1:13">
      <c r="A58" t="s">
        <v>140</v>
      </c>
      <c r="B58" t="s">
        <v>141</v>
      </c>
      <c r="C58" t="s">
        <v>18</v>
      </c>
      <c r="D58" t="s">
        <v>40</v>
      </c>
      <c r="E58" t="s">
        <v>31</v>
      </c>
      <c r="F58" s="2">
        <v>67</v>
      </c>
      <c r="G58" s="2">
        <v>68</v>
      </c>
      <c r="H58" s="2">
        <v>76</v>
      </c>
      <c r="I58" s="2">
        <v>69</v>
      </c>
      <c r="J58" s="2">
        <v>78</v>
      </c>
      <c r="K58" s="2">
        <v>280</v>
      </c>
      <c r="L58" s="2">
        <v>70</v>
      </c>
      <c r="M58" t="s">
        <v>14</v>
      </c>
    </row>
    <row r="59" spans="1:13">
      <c r="A59" t="s">
        <v>142</v>
      </c>
      <c r="B59" t="s">
        <v>143</v>
      </c>
      <c r="C59" t="s">
        <v>12</v>
      </c>
      <c r="D59" t="s">
        <v>34</v>
      </c>
      <c r="E59" t="s">
        <v>35</v>
      </c>
      <c r="F59" s="2">
        <v>74</v>
      </c>
      <c r="G59" s="2">
        <v>59</v>
      </c>
      <c r="H59" s="2">
        <v>62</v>
      </c>
      <c r="I59" s="2">
        <v>79</v>
      </c>
      <c r="J59" s="2">
        <v>85</v>
      </c>
      <c r="K59" s="2">
        <v>274</v>
      </c>
      <c r="L59" s="2">
        <v>68.5</v>
      </c>
      <c r="M59" t="s">
        <v>14</v>
      </c>
    </row>
    <row r="60" spans="1:13">
      <c r="A60" t="s">
        <v>144</v>
      </c>
      <c r="B60" t="s">
        <v>145</v>
      </c>
      <c r="C60" t="s">
        <v>18</v>
      </c>
      <c r="D60" t="s">
        <v>30</v>
      </c>
      <c r="E60" t="s">
        <v>31</v>
      </c>
      <c r="F60" s="2">
        <v>70</v>
      </c>
      <c r="G60" s="2">
        <v>67</v>
      </c>
      <c r="H60" s="2">
        <v>79</v>
      </c>
      <c r="I60" s="2">
        <v>85</v>
      </c>
      <c r="J60" s="2">
        <v>94</v>
      </c>
      <c r="K60" s="2">
        <v>301</v>
      </c>
      <c r="L60" s="2">
        <v>75.2</v>
      </c>
      <c r="M60" t="s">
        <v>14</v>
      </c>
    </row>
    <row r="61" spans="1:13">
      <c r="A61" t="s">
        <v>146</v>
      </c>
      <c r="B61" t="s">
        <v>147</v>
      </c>
      <c r="C61" t="s">
        <v>18</v>
      </c>
      <c r="D61" t="s">
        <v>30</v>
      </c>
      <c r="E61" t="s">
        <v>31</v>
      </c>
      <c r="F61" s="2">
        <v>92</v>
      </c>
      <c r="G61" s="2">
        <v>87</v>
      </c>
      <c r="H61" s="2">
        <v>70</v>
      </c>
      <c r="I61" s="2">
        <v>85</v>
      </c>
      <c r="J61" s="2">
        <v>78</v>
      </c>
      <c r="K61" s="2">
        <v>334</v>
      </c>
      <c r="L61" s="2">
        <v>83.5</v>
      </c>
      <c r="M61" t="s">
        <v>14</v>
      </c>
    </row>
    <row r="62" spans="1:13">
      <c r="A62" t="s">
        <v>148</v>
      </c>
      <c r="B62" t="s">
        <v>149</v>
      </c>
      <c r="C62" t="s">
        <v>12</v>
      </c>
      <c r="D62" t="s">
        <v>40</v>
      </c>
      <c r="E62" t="s">
        <v>35</v>
      </c>
      <c r="F62" s="2">
        <v>51</v>
      </c>
      <c r="G62" s="2">
        <v>33</v>
      </c>
      <c r="H62" s="2">
        <v>48</v>
      </c>
      <c r="I62" s="2">
        <v>53</v>
      </c>
      <c r="J62" s="2">
        <v>81</v>
      </c>
      <c r="K62" s="2">
        <v>185</v>
      </c>
      <c r="L62" s="2">
        <v>46.2</v>
      </c>
      <c r="M62" t="s">
        <v>17</v>
      </c>
    </row>
    <row r="63" spans="1:13">
      <c r="A63" t="s">
        <v>150</v>
      </c>
      <c r="B63" t="s">
        <v>151</v>
      </c>
      <c r="C63" t="s">
        <v>12</v>
      </c>
      <c r="D63" t="s">
        <v>30</v>
      </c>
      <c r="E63" t="s">
        <v>31</v>
      </c>
      <c r="F63" s="2">
        <v>65</v>
      </c>
      <c r="G63" s="2">
        <v>57</v>
      </c>
      <c r="H63" s="2">
        <v>73</v>
      </c>
      <c r="I63" s="2">
        <v>36</v>
      </c>
      <c r="J63" s="2">
        <v>79</v>
      </c>
      <c r="K63" s="2">
        <v>231</v>
      </c>
      <c r="L63" s="2">
        <v>57.8</v>
      </c>
      <c r="M63" t="s">
        <v>14</v>
      </c>
    </row>
    <row r="64" spans="1:13">
      <c r="A64" t="s">
        <v>152</v>
      </c>
      <c r="B64" t="s">
        <v>153</v>
      </c>
      <c r="C64" t="s">
        <v>15</v>
      </c>
      <c r="D64" t="s">
        <v>30</v>
      </c>
      <c r="E64" t="s">
        <v>35</v>
      </c>
      <c r="F64" s="2">
        <v>62</v>
      </c>
      <c r="G64" s="2">
        <v>38</v>
      </c>
      <c r="H64" s="2">
        <v>35</v>
      </c>
      <c r="I64" s="2">
        <v>44</v>
      </c>
      <c r="J64" s="2">
        <v>77</v>
      </c>
      <c r="K64" s="2">
        <v>179</v>
      </c>
      <c r="L64" s="2">
        <v>44.8</v>
      </c>
      <c r="M64" t="s">
        <v>14</v>
      </c>
    </row>
    <row r="65" spans="1:13">
      <c r="A65" t="s">
        <v>154</v>
      </c>
      <c r="B65" t="s">
        <v>155</v>
      </c>
      <c r="C65" t="s">
        <v>15</v>
      </c>
      <c r="D65" t="s">
        <v>34</v>
      </c>
      <c r="E65" t="s">
        <v>35</v>
      </c>
      <c r="F65" s="2">
        <v>100</v>
      </c>
      <c r="G65" s="2">
        <v>86</v>
      </c>
      <c r="H65" s="2">
        <v>100</v>
      </c>
      <c r="I65" s="2">
        <v>86</v>
      </c>
      <c r="J65" s="2">
        <v>66</v>
      </c>
      <c r="K65" s="2">
        <v>372</v>
      </c>
      <c r="L65" s="2">
        <v>93</v>
      </c>
      <c r="M65" t="s">
        <v>14</v>
      </c>
    </row>
    <row r="66" spans="1:13">
      <c r="A66" t="s">
        <v>156</v>
      </c>
      <c r="B66" t="s">
        <v>67</v>
      </c>
      <c r="C66" t="s">
        <v>12</v>
      </c>
      <c r="D66" t="s">
        <v>30</v>
      </c>
      <c r="E66" t="s">
        <v>35</v>
      </c>
      <c r="F66" s="2">
        <v>40</v>
      </c>
      <c r="G66" s="2">
        <v>44</v>
      </c>
      <c r="H66" s="2">
        <v>74</v>
      </c>
      <c r="I66" s="2">
        <v>41</v>
      </c>
      <c r="J66" s="2">
        <v>65</v>
      </c>
      <c r="K66" s="2">
        <v>199</v>
      </c>
      <c r="L66" s="2">
        <v>49.8</v>
      </c>
      <c r="M66" t="s">
        <v>14</v>
      </c>
    </row>
    <row r="67" spans="1:13">
      <c r="A67" t="s">
        <v>157</v>
      </c>
      <c r="B67" t="s">
        <v>158</v>
      </c>
      <c r="C67" t="s">
        <v>15</v>
      </c>
      <c r="D67" t="s">
        <v>40</v>
      </c>
      <c r="E67" t="s">
        <v>35</v>
      </c>
      <c r="F67" s="2">
        <v>54</v>
      </c>
      <c r="G67" s="2">
        <v>63</v>
      </c>
      <c r="H67" s="2">
        <v>77</v>
      </c>
      <c r="I67" s="2">
        <v>79</v>
      </c>
      <c r="J67" s="2">
        <v>80</v>
      </c>
      <c r="K67" s="2">
        <v>273</v>
      </c>
      <c r="L67" s="2">
        <v>68.2</v>
      </c>
      <c r="M67" t="s">
        <v>14</v>
      </c>
    </row>
    <row r="68" spans="1:13">
      <c r="A68" t="s">
        <v>159</v>
      </c>
      <c r="B68" t="s">
        <v>160</v>
      </c>
      <c r="C68" t="s">
        <v>12</v>
      </c>
      <c r="D68" t="s">
        <v>40</v>
      </c>
      <c r="E68" t="s">
        <v>31</v>
      </c>
      <c r="F68" s="2">
        <v>68</v>
      </c>
      <c r="G68" s="2">
        <v>87</v>
      </c>
      <c r="H68" s="2">
        <v>61</v>
      </c>
      <c r="I68" s="2">
        <v>72</v>
      </c>
      <c r="J68" s="2">
        <v>84</v>
      </c>
      <c r="K68" s="2">
        <v>288</v>
      </c>
      <c r="L68" s="2">
        <v>72</v>
      </c>
      <c r="M68" t="s">
        <v>14</v>
      </c>
    </row>
    <row r="69" spans="1:13">
      <c r="A69" t="s">
        <v>161</v>
      </c>
      <c r="B69" t="s">
        <v>162</v>
      </c>
      <c r="C69" t="s">
        <v>12</v>
      </c>
      <c r="D69" t="s">
        <v>30</v>
      </c>
      <c r="E69" t="s">
        <v>35</v>
      </c>
      <c r="F69" s="2">
        <v>100</v>
      </c>
      <c r="G69" s="2">
        <v>68</v>
      </c>
      <c r="H69" s="2">
        <v>82</v>
      </c>
      <c r="I69" s="2">
        <v>100</v>
      </c>
      <c r="J69" s="2">
        <v>70</v>
      </c>
      <c r="K69" s="2">
        <v>350</v>
      </c>
      <c r="L69" s="2">
        <v>87.5</v>
      </c>
      <c r="M69" t="s">
        <v>14</v>
      </c>
    </row>
    <row r="70" spans="1:13">
      <c r="A70" t="s">
        <v>163</v>
      </c>
      <c r="B70" t="s">
        <v>59</v>
      </c>
      <c r="C70" t="s">
        <v>15</v>
      </c>
      <c r="D70" t="s">
        <v>30</v>
      </c>
      <c r="E70" t="s">
        <v>31</v>
      </c>
      <c r="F70" s="2">
        <v>94</v>
      </c>
      <c r="G70" s="2">
        <v>72</v>
      </c>
      <c r="H70" s="2">
        <v>88</v>
      </c>
      <c r="I70" s="2">
        <v>58</v>
      </c>
      <c r="J70" s="2">
        <v>65</v>
      </c>
      <c r="K70" s="2">
        <v>312</v>
      </c>
      <c r="L70" s="2">
        <v>78</v>
      </c>
      <c r="M70" t="s">
        <v>14</v>
      </c>
    </row>
    <row r="71" spans="1:13">
      <c r="A71" t="s">
        <v>164</v>
      </c>
      <c r="B71" t="s">
        <v>165</v>
      </c>
      <c r="C71" t="s">
        <v>18</v>
      </c>
      <c r="D71" t="s">
        <v>34</v>
      </c>
      <c r="E71" t="s">
        <v>35</v>
      </c>
      <c r="F71" s="2">
        <v>85</v>
      </c>
      <c r="G71" s="2">
        <v>100</v>
      </c>
      <c r="H71" s="2">
        <v>54</v>
      </c>
      <c r="I71" s="2">
        <v>85</v>
      </c>
      <c r="J71" s="2">
        <v>76</v>
      </c>
      <c r="K71" s="2">
        <v>324</v>
      </c>
      <c r="L71" s="2">
        <v>81</v>
      </c>
      <c r="M71" t="s">
        <v>14</v>
      </c>
    </row>
    <row r="72" spans="1:13">
      <c r="A72" t="s">
        <v>166</v>
      </c>
      <c r="B72" t="s">
        <v>167</v>
      </c>
      <c r="C72" t="s">
        <v>15</v>
      </c>
      <c r="D72" t="s">
        <v>34</v>
      </c>
      <c r="E72" t="s">
        <v>31</v>
      </c>
      <c r="F72" s="2">
        <v>54</v>
      </c>
      <c r="G72" s="2">
        <v>43</v>
      </c>
      <c r="H72" s="2">
        <v>25</v>
      </c>
      <c r="I72" s="2">
        <v>56</v>
      </c>
      <c r="J72" s="2">
        <v>95</v>
      </c>
      <c r="K72" s="2">
        <v>178</v>
      </c>
      <c r="L72" s="2">
        <v>44.5</v>
      </c>
      <c r="M72" t="s">
        <v>17</v>
      </c>
    </row>
    <row r="73" spans="1:13">
      <c r="A73" t="s">
        <v>168</v>
      </c>
      <c r="B73" t="s">
        <v>169</v>
      </c>
      <c r="C73" t="s">
        <v>12</v>
      </c>
      <c r="D73" t="s">
        <v>34</v>
      </c>
      <c r="E73" t="s">
        <v>35</v>
      </c>
      <c r="F73" s="2">
        <v>67</v>
      </c>
      <c r="G73" s="2">
        <v>67</v>
      </c>
      <c r="H73" s="2">
        <v>49</v>
      </c>
      <c r="I73" s="2">
        <v>73</v>
      </c>
      <c r="J73" s="2">
        <v>93</v>
      </c>
      <c r="K73" s="2">
        <v>256</v>
      </c>
      <c r="L73" s="2">
        <v>64</v>
      </c>
      <c r="M73" t="s">
        <v>14</v>
      </c>
    </row>
    <row r="74" spans="1:13">
      <c r="A74" t="s">
        <v>170</v>
      </c>
      <c r="B74" t="s">
        <v>171</v>
      </c>
      <c r="C74" t="s">
        <v>15</v>
      </c>
      <c r="D74" t="s">
        <v>30</v>
      </c>
      <c r="E74" t="s">
        <v>31</v>
      </c>
      <c r="F74" s="2">
        <v>53</v>
      </c>
      <c r="G74" s="2">
        <v>43</v>
      </c>
      <c r="H74" s="2">
        <v>33</v>
      </c>
      <c r="I74" s="2">
        <v>44</v>
      </c>
      <c r="J74" s="2">
        <v>75</v>
      </c>
      <c r="K74" s="2">
        <v>173</v>
      </c>
      <c r="L74" s="2">
        <v>43.2</v>
      </c>
      <c r="M74" t="s">
        <v>17</v>
      </c>
    </row>
    <row r="75" spans="1:13">
      <c r="A75" t="s">
        <v>172</v>
      </c>
      <c r="B75" t="s">
        <v>173</v>
      </c>
      <c r="C75" t="s">
        <v>15</v>
      </c>
      <c r="D75" t="s">
        <v>34</v>
      </c>
      <c r="E75" t="s">
        <v>31</v>
      </c>
      <c r="F75" s="2">
        <v>100</v>
      </c>
      <c r="G75" s="2">
        <v>74</v>
      </c>
      <c r="H75" s="2">
        <v>91</v>
      </c>
      <c r="I75" s="2">
        <v>86</v>
      </c>
      <c r="J75" s="2">
        <v>66</v>
      </c>
      <c r="K75" s="2">
        <v>351</v>
      </c>
      <c r="L75" s="2">
        <v>87.8</v>
      </c>
      <c r="M75" t="s">
        <v>14</v>
      </c>
    </row>
    <row r="76" spans="1:13">
      <c r="A76" t="s">
        <v>174</v>
      </c>
      <c r="B76" t="s">
        <v>175</v>
      </c>
      <c r="C76" t="s">
        <v>15</v>
      </c>
      <c r="D76" t="s">
        <v>34</v>
      </c>
      <c r="E76" t="s">
        <v>31</v>
      </c>
      <c r="F76" s="2">
        <v>77</v>
      </c>
      <c r="G76" s="2">
        <v>74</v>
      </c>
      <c r="H76" s="2">
        <v>82</v>
      </c>
      <c r="I76" s="2">
        <v>89</v>
      </c>
      <c r="J76" s="2">
        <v>99</v>
      </c>
      <c r="K76" s="2">
        <v>322</v>
      </c>
      <c r="L76" s="2">
        <v>80.5</v>
      </c>
      <c r="M76" t="s">
        <v>14</v>
      </c>
    </row>
    <row r="77" spans="1:13">
      <c r="A77" t="s">
        <v>176</v>
      </c>
      <c r="B77" t="s">
        <v>177</v>
      </c>
      <c r="C77" t="s">
        <v>18</v>
      </c>
      <c r="D77" t="s">
        <v>34</v>
      </c>
      <c r="E77" t="s">
        <v>35</v>
      </c>
      <c r="F77" s="2">
        <v>73</v>
      </c>
      <c r="G77" s="2">
        <v>85</v>
      </c>
      <c r="H77" s="2">
        <v>100</v>
      </c>
      <c r="I77" s="2">
        <v>90</v>
      </c>
      <c r="J77" s="2">
        <v>97</v>
      </c>
      <c r="K77" s="2">
        <v>348</v>
      </c>
      <c r="L77" s="2">
        <v>87</v>
      </c>
      <c r="M77" t="s">
        <v>14</v>
      </c>
    </row>
    <row r="78" spans="1:13">
      <c r="A78" t="s">
        <v>178</v>
      </c>
      <c r="B78" t="s">
        <v>179</v>
      </c>
      <c r="C78" t="s">
        <v>15</v>
      </c>
      <c r="D78" t="s">
        <v>40</v>
      </c>
      <c r="E78" t="s">
        <v>35</v>
      </c>
      <c r="F78" s="2">
        <v>36</v>
      </c>
      <c r="G78" s="2">
        <v>35</v>
      </c>
      <c r="H78" s="2">
        <v>44</v>
      </c>
      <c r="I78" s="2">
        <v>38</v>
      </c>
      <c r="J78" s="2">
        <v>79</v>
      </c>
      <c r="K78" s="2">
        <v>153</v>
      </c>
      <c r="L78" s="2">
        <v>38.200000000000003</v>
      </c>
      <c r="M78" t="s">
        <v>14</v>
      </c>
    </row>
    <row r="79" spans="1:13">
      <c r="A79" t="s">
        <v>180</v>
      </c>
      <c r="B79" t="s">
        <v>181</v>
      </c>
      <c r="C79" t="s">
        <v>15</v>
      </c>
      <c r="D79" t="s">
        <v>40</v>
      </c>
      <c r="E79" t="s">
        <v>31</v>
      </c>
      <c r="F79" s="2">
        <v>51</v>
      </c>
      <c r="G79" s="2">
        <v>70</v>
      </c>
      <c r="H79" s="2">
        <v>62</v>
      </c>
      <c r="I79" s="2">
        <v>67</v>
      </c>
      <c r="J79" s="2">
        <v>62</v>
      </c>
      <c r="K79" s="2">
        <v>250</v>
      </c>
      <c r="L79" s="2">
        <v>62.5</v>
      </c>
      <c r="M79" t="s">
        <v>14</v>
      </c>
    </row>
    <row r="80" spans="1:13">
      <c r="A80" t="s">
        <v>182</v>
      </c>
      <c r="B80" t="s">
        <v>129</v>
      </c>
      <c r="C80" t="s">
        <v>15</v>
      </c>
      <c r="D80" t="s">
        <v>30</v>
      </c>
      <c r="E80" t="s">
        <v>35</v>
      </c>
      <c r="F80" s="2">
        <v>67</v>
      </c>
      <c r="G80" s="2">
        <v>57</v>
      </c>
      <c r="H80" s="2">
        <v>61</v>
      </c>
      <c r="I80" s="2">
        <v>70</v>
      </c>
      <c r="J80" s="2">
        <v>98</v>
      </c>
      <c r="K80" s="2">
        <v>255</v>
      </c>
      <c r="L80" s="2">
        <v>63.8</v>
      </c>
      <c r="M80" t="s">
        <v>14</v>
      </c>
    </row>
    <row r="81" spans="1:13">
      <c r="A81" t="s">
        <v>183</v>
      </c>
      <c r="B81" t="s">
        <v>184</v>
      </c>
      <c r="C81" t="s">
        <v>18</v>
      </c>
      <c r="D81" t="s">
        <v>40</v>
      </c>
      <c r="E81" t="s">
        <v>35</v>
      </c>
      <c r="F81" s="2">
        <v>85</v>
      </c>
      <c r="G81" s="2">
        <v>83</v>
      </c>
      <c r="H81" s="2">
        <v>70</v>
      </c>
      <c r="I81" s="2">
        <v>79</v>
      </c>
      <c r="J81" s="2">
        <v>79</v>
      </c>
      <c r="K81" s="2">
        <v>317</v>
      </c>
      <c r="L81" s="2">
        <v>79.2</v>
      </c>
      <c r="M81" t="s">
        <v>14</v>
      </c>
    </row>
    <row r="82" spans="1:13">
      <c r="A82" t="s">
        <v>185</v>
      </c>
      <c r="B82" t="s">
        <v>39</v>
      </c>
      <c r="C82" t="s">
        <v>15</v>
      </c>
      <c r="D82" t="s">
        <v>40</v>
      </c>
      <c r="E82" t="s">
        <v>31</v>
      </c>
      <c r="F82" s="2">
        <v>42</v>
      </c>
      <c r="G82" s="2">
        <v>44</v>
      </c>
      <c r="H82" s="2">
        <v>45</v>
      </c>
      <c r="I82" s="2">
        <v>50</v>
      </c>
      <c r="J82" s="2">
        <v>90</v>
      </c>
      <c r="K82" s="2">
        <v>181</v>
      </c>
      <c r="L82" s="2">
        <v>45.2</v>
      </c>
      <c r="M82" t="s">
        <v>14</v>
      </c>
    </row>
    <row r="83" spans="1:13">
      <c r="A83" t="s">
        <v>186</v>
      </c>
      <c r="B83" t="s">
        <v>187</v>
      </c>
      <c r="C83" t="s">
        <v>15</v>
      </c>
      <c r="D83" t="s">
        <v>34</v>
      </c>
      <c r="E83" t="s">
        <v>31</v>
      </c>
      <c r="F83" s="2">
        <v>100</v>
      </c>
      <c r="G83" s="2">
        <v>67</v>
      </c>
      <c r="H83" s="2">
        <v>69</v>
      </c>
      <c r="I83" s="2">
        <v>62</v>
      </c>
      <c r="J83" s="2">
        <v>84</v>
      </c>
      <c r="K83" s="2">
        <v>298</v>
      </c>
      <c r="L83" s="2">
        <v>74.5</v>
      </c>
      <c r="M83" t="s">
        <v>14</v>
      </c>
    </row>
    <row r="84" spans="1:13">
      <c r="A84" t="s">
        <v>188</v>
      </c>
      <c r="B84" t="s">
        <v>74</v>
      </c>
      <c r="C84" t="s">
        <v>15</v>
      </c>
      <c r="D84" t="s">
        <v>34</v>
      </c>
      <c r="E84" t="s">
        <v>31</v>
      </c>
      <c r="F84" s="2">
        <v>64</v>
      </c>
      <c r="G84" s="2">
        <v>15</v>
      </c>
      <c r="H84" s="2">
        <v>73</v>
      </c>
      <c r="I84" s="2">
        <v>47</v>
      </c>
      <c r="J84" s="2">
        <v>63</v>
      </c>
      <c r="K84" s="2">
        <v>199</v>
      </c>
      <c r="L84" s="2">
        <v>49.8</v>
      </c>
      <c r="M84" t="s">
        <v>17</v>
      </c>
    </row>
    <row r="85" spans="1:13">
      <c r="A85" t="s">
        <v>189</v>
      </c>
      <c r="B85" t="s">
        <v>190</v>
      </c>
      <c r="C85" t="s">
        <v>12</v>
      </c>
      <c r="D85" t="s">
        <v>30</v>
      </c>
      <c r="E85" t="s">
        <v>31</v>
      </c>
      <c r="F85" s="2">
        <v>38</v>
      </c>
      <c r="G85" s="2">
        <v>39</v>
      </c>
      <c r="H85" s="2">
        <v>40</v>
      </c>
      <c r="I85" s="2">
        <v>58</v>
      </c>
      <c r="J85" s="2">
        <v>87</v>
      </c>
      <c r="K85" s="2">
        <v>175</v>
      </c>
      <c r="L85" s="2">
        <v>43.8</v>
      </c>
      <c r="M85" t="s">
        <v>14</v>
      </c>
    </row>
    <row r="86" spans="1:13">
      <c r="A86" t="s">
        <v>191</v>
      </c>
      <c r="B86" t="s">
        <v>192</v>
      </c>
      <c r="C86" t="s">
        <v>15</v>
      </c>
      <c r="D86" t="s">
        <v>40</v>
      </c>
      <c r="E86" t="s">
        <v>35</v>
      </c>
      <c r="F86" s="2">
        <v>85</v>
      </c>
      <c r="G86" s="2">
        <v>100</v>
      </c>
      <c r="H86" s="2">
        <v>94</v>
      </c>
      <c r="I86" s="2">
        <v>86</v>
      </c>
      <c r="J86" s="2">
        <v>100</v>
      </c>
      <c r="K86" s="2">
        <v>365</v>
      </c>
      <c r="L86" s="2">
        <v>91.2</v>
      </c>
      <c r="M86" t="s">
        <v>14</v>
      </c>
    </row>
    <row r="87" spans="1:13">
      <c r="A87" t="s">
        <v>193</v>
      </c>
      <c r="B87" t="s">
        <v>194</v>
      </c>
      <c r="C87" t="s">
        <v>15</v>
      </c>
      <c r="D87" t="s">
        <v>34</v>
      </c>
      <c r="E87" t="s">
        <v>35</v>
      </c>
      <c r="F87" s="2">
        <v>69</v>
      </c>
      <c r="G87" s="2">
        <v>54</v>
      </c>
      <c r="H87" s="2">
        <v>44</v>
      </c>
      <c r="I87" s="2">
        <v>39</v>
      </c>
      <c r="J87" s="2">
        <v>86</v>
      </c>
      <c r="K87" s="2">
        <v>206</v>
      </c>
      <c r="L87" s="2">
        <v>51.5</v>
      </c>
      <c r="M87" t="s">
        <v>14</v>
      </c>
    </row>
    <row r="88" spans="1:13">
      <c r="A88" t="s">
        <v>195</v>
      </c>
      <c r="B88" t="s">
        <v>117</v>
      </c>
      <c r="C88" t="s">
        <v>18</v>
      </c>
      <c r="D88" t="s">
        <v>30</v>
      </c>
      <c r="E88" t="s">
        <v>35</v>
      </c>
      <c r="F88" s="2">
        <v>64</v>
      </c>
      <c r="G88" s="2">
        <v>70</v>
      </c>
      <c r="H88" s="2">
        <v>81</v>
      </c>
      <c r="I88" s="2">
        <v>45</v>
      </c>
      <c r="J88" s="2">
        <v>70</v>
      </c>
      <c r="K88" s="2">
        <v>260</v>
      </c>
      <c r="L88" s="2">
        <v>65</v>
      </c>
      <c r="M88" t="s">
        <v>14</v>
      </c>
    </row>
    <row r="89" spans="1:13">
      <c r="A89" t="s">
        <v>196</v>
      </c>
      <c r="B89" t="s">
        <v>29</v>
      </c>
      <c r="C89" t="s">
        <v>12</v>
      </c>
      <c r="D89" t="s">
        <v>40</v>
      </c>
      <c r="E89" t="s">
        <v>31</v>
      </c>
      <c r="F89" s="2">
        <v>74</v>
      </c>
      <c r="G89" s="2">
        <v>82</v>
      </c>
      <c r="H89" s="2">
        <v>83</v>
      </c>
      <c r="I89" s="2">
        <v>64</v>
      </c>
      <c r="J89" s="2">
        <v>76</v>
      </c>
      <c r="K89" s="2">
        <v>303</v>
      </c>
      <c r="L89" s="2">
        <v>75.8</v>
      </c>
      <c r="M89" t="s">
        <v>14</v>
      </c>
    </row>
    <row r="90" spans="1:13">
      <c r="A90" t="s">
        <v>197</v>
      </c>
      <c r="B90" t="s">
        <v>198</v>
      </c>
      <c r="C90" t="s">
        <v>15</v>
      </c>
      <c r="D90" t="s">
        <v>40</v>
      </c>
      <c r="E90" t="s">
        <v>31</v>
      </c>
      <c r="F90" s="2">
        <v>65</v>
      </c>
      <c r="G90" s="2">
        <v>52</v>
      </c>
      <c r="H90" s="2">
        <v>79</v>
      </c>
      <c r="I90" s="2">
        <v>48</v>
      </c>
      <c r="J90" s="2">
        <v>94</v>
      </c>
      <c r="K90" s="2">
        <v>244</v>
      </c>
      <c r="L90" s="2">
        <v>61</v>
      </c>
      <c r="M90" t="s">
        <v>14</v>
      </c>
    </row>
    <row r="91" spans="1:13">
      <c r="A91" t="s">
        <v>199</v>
      </c>
      <c r="B91" t="s">
        <v>200</v>
      </c>
      <c r="C91" t="s">
        <v>12</v>
      </c>
      <c r="D91" t="s">
        <v>40</v>
      </c>
      <c r="E91" t="s">
        <v>31</v>
      </c>
      <c r="F91" s="2">
        <v>52</v>
      </c>
      <c r="G91" s="2">
        <v>37</v>
      </c>
      <c r="H91" s="2">
        <v>80</v>
      </c>
      <c r="I91" s="2">
        <v>78</v>
      </c>
      <c r="J91" s="2">
        <v>89</v>
      </c>
      <c r="K91" s="2">
        <v>247</v>
      </c>
      <c r="L91" s="2">
        <v>61.8</v>
      </c>
      <c r="M91" t="s">
        <v>14</v>
      </c>
    </row>
    <row r="92" spans="1:13">
      <c r="A92" t="s">
        <v>201</v>
      </c>
      <c r="B92" t="s">
        <v>202</v>
      </c>
      <c r="C92" t="s">
        <v>18</v>
      </c>
      <c r="D92" t="s">
        <v>40</v>
      </c>
      <c r="E92" t="s">
        <v>35</v>
      </c>
      <c r="F92" s="2">
        <v>70</v>
      </c>
      <c r="G92" s="2">
        <v>98</v>
      </c>
      <c r="H92" s="2">
        <v>93</v>
      </c>
      <c r="I92" s="2">
        <v>89</v>
      </c>
      <c r="J92" s="2">
        <v>85</v>
      </c>
      <c r="K92" s="2">
        <v>350</v>
      </c>
      <c r="L92" s="2">
        <v>87.5</v>
      </c>
      <c r="M92" t="s">
        <v>14</v>
      </c>
    </row>
    <row r="93" spans="1:13">
      <c r="A93" t="s">
        <v>203</v>
      </c>
      <c r="B93" t="s">
        <v>204</v>
      </c>
      <c r="C93" t="s">
        <v>12</v>
      </c>
      <c r="D93" t="s">
        <v>34</v>
      </c>
      <c r="E93" t="s">
        <v>35</v>
      </c>
      <c r="F93" s="2">
        <v>79</v>
      </c>
      <c r="G93" s="2">
        <v>79</v>
      </c>
      <c r="H93" s="2">
        <v>64</v>
      </c>
      <c r="I93" s="2">
        <v>77</v>
      </c>
      <c r="J93" s="2">
        <v>78</v>
      </c>
      <c r="K93" s="2">
        <v>299</v>
      </c>
      <c r="L93" s="2">
        <v>74.8</v>
      </c>
      <c r="M93" t="s">
        <v>14</v>
      </c>
    </row>
    <row r="94" spans="1:13">
      <c r="A94" t="s">
        <v>205</v>
      </c>
      <c r="B94" t="s">
        <v>206</v>
      </c>
      <c r="C94" t="s">
        <v>15</v>
      </c>
      <c r="D94" t="s">
        <v>34</v>
      </c>
      <c r="E94" t="s">
        <v>31</v>
      </c>
      <c r="F94" s="2">
        <v>43</v>
      </c>
      <c r="G94" s="2">
        <v>24</v>
      </c>
      <c r="H94" s="2">
        <v>38</v>
      </c>
      <c r="I94" s="2">
        <v>43</v>
      </c>
      <c r="J94" s="2">
        <v>97</v>
      </c>
      <c r="K94" s="2">
        <v>148</v>
      </c>
      <c r="L94" s="2">
        <v>37</v>
      </c>
      <c r="M94" t="s">
        <v>17</v>
      </c>
    </row>
    <row r="95" spans="1:13">
      <c r="A95" t="s">
        <v>207</v>
      </c>
      <c r="B95" t="s">
        <v>208</v>
      </c>
      <c r="C95" t="s">
        <v>12</v>
      </c>
      <c r="D95" t="s">
        <v>30</v>
      </c>
      <c r="E95" t="s">
        <v>35</v>
      </c>
      <c r="F95" s="2">
        <v>52</v>
      </c>
      <c r="G95" s="2">
        <v>74</v>
      </c>
      <c r="H95" s="2">
        <v>59</v>
      </c>
      <c r="I95" s="2">
        <v>57</v>
      </c>
      <c r="J95" s="2">
        <v>89</v>
      </c>
      <c r="K95" s="2">
        <v>242</v>
      </c>
      <c r="L95" s="2">
        <v>60.5</v>
      </c>
      <c r="M95" t="s">
        <v>14</v>
      </c>
    </row>
    <row r="96" spans="1:13">
      <c r="A96" t="s">
        <v>209</v>
      </c>
      <c r="B96" t="s">
        <v>190</v>
      </c>
      <c r="C96" t="s">
        <v>18</v>
      </c>
      <c r="D96" t="s">
        <v>40</v>
      </c>
      <c r="E96" t="s">
        <v>31</v>
      </c>
      <c r="F96" s="2">
        <v>82</v>
      </c>
      <c r="G96" s="2">
        <v>49</v>
      </c>
      <c r="H96" s="2">
        <v>57</v>
      </c>
      <c r="I96" s="2">
        <v>100</v>
      </c>
      <c r="J96" s="2">
        <v>99</v>
      </c>
      <c r="K96" s="2">
        <v>288</v>
      </c>
      <c r="L96" s="2">
        <v>72</v>
      </c>
      <c r="M96" t="s">
        <v>14</v>
      </c>
    </row>
    <row r="97" spans="1:13">
      <c r="A97" t="s">
        <v>210</v>
      </c>
      <c r="B97" t="s">
        <v>211</v>
      </c>
      <c r="C97" t="s">
        <v>18</v>
      </c>
      <c r="D97" t="s">
        <v>34</v>
      </c>
      <c r="E97" t="s">
        <v>31</v>
      </c>
      <c r="F97" s="2">
        <v>92</v>
      </c>
      <c r="G97" s="2">
        <v>82</v>
      </c>
      <c r="H97" s="2">
        <v>88</v>
      </c>
      <c r="I97" s="2">
        <v>76</v>
      </c>
      <c r="J97" s="2">
        <v>86</v>
      </c>
      <c r="K97" s="2">
        <v>338</v>
      </c>
      <c r="L97" s="2">
        <v>84.5</v>
      </c>
      <c r="M97" t="s">
        <v>14</v>
      </c>
    </row>
    <row r="98" spans="1:13">
      <c r="A98" t="s">
        <v>212</v>
      </c>
      <c r="B98" t="s">
        <v>213</v>
      </c>
      <c r="C98" t="s">
        <v>15</v>
      </c>
      <c r="D98" t="s">
        <v>34</v>
      </c>
      <c r="E98" t="s">
        <v>31</v>
      </c>
      <c r="F98" s="2">
        <v>42</v>
      </c>
      <c r="G98" s="2">
        <v>68</v>
      </c>
      <c r="H98" s="2">
        <v>87</v>
      </c>
      <c r="I98" s="2">
        <v>67</v>
      </c>
      <c r="J98" s="2">
        <v>72</v>
      </c>
      <c r="K98" s="2">
        <v>264</v>
      </c>
      <c r="L98" s="2">
        <v>66</v>
      </c>
      <c r="M98" t="s">
        <v>14</v>
      </c>
    </row>
    <row r="99" spans="1:13">
      <c r="A99" t="s">
        <v>214</v>
      </c>
      <c r="B99" t="s">
        <v>215</v>
      </c>
      <c r="C99" t="s">
        <v>15</v>
      </c>
      <c r="D99" t="s">
        <v>34</v>
      </c>
      <c r="E99" t="s">
        <v>31</v>
      </c>
      <c r="F99" s="2">
        <v>58</v>
      </c>
      <c r="G99" s="2">
        <v>38</v>
      </c>
      <c r="H99" s="2">
        <v>62</v>
      </c>
      <c r="I99" s="2">
        <v>47</v>
      </c>
      <c r="J99" s="2">
        <v>65</v>
      </c>
      <c r="K99" s="2">
        <v>205</v>
      </c>
      <c r="L99" s="2">
        <v>51.2</v>
      </c>
      <c r="M99" t="s">
        <v>14</v>
      </c>
    </row>
    <row r="100" spans="1:13">
      <c r="A100" t="s">
        <v>216</v>
      </c>
      <c r="B100" t="s">
        <v>217</v>
      </c>
      <c r="C100" t="s">
        <v>15</v>
      </c>
      <c r="D100" t="s">
        <v>34</v>
      </c>
      <c r="E100" t="s">
        <v>35</v>
      </c>
      <c r="F100" s="2">
        <v>84</v>
      </c>
      <c r="G100" s="2">
        <v>100</v>
      </c>
      <c r="H100" s="2">
        <v>100</v>
      </c>
      <c r="I100" s="2">
        <v>97</v>
      </c>
      <c r="J100" s="2">
        <v>94</v>
      </c>
      <c r="K100" s="2">
        <v>381</v>
      </c>
      <c r="L100" s="2">
        <v>95.2</v>
      </c>
      <c r="M100" t="s">
        <v>14</v>
      </c>
    </row>
    <row r="101" spans="1:13">
      <c r="A101" t="s">
        <v>218</v>
      </c>
      <c r="B101" t="s">
        <v>219</v>
      </c>
      <c r="C101" t="s">
        <v>12</v>
      </c>
      <c r="D101" t="s">
        <v>40</v>
      </c>
      <c r="E101" t="s">
        <v>35</v>
      </c>
      <c r="F101" s="2">
        <v>100</v>
      </c>
      <c r="G101" s="2">
        <v>89</v>
      </c>
      <c r="H101" s="2">
        <v>100</v>
      </c>
      <c r="I101" s="2">
        <v>95</v>
      </c>
      <c r="J101" s="2">
        <v>69</v>
      </c>
      <c r="K101" s="2">
        <v>384</v>
      </c>
      <c r="L101" s="2">
        <v>96</v>
      </c>
      <c r="M101" t="s">
        <v>14</v>
      </c>
    </row>
    <row r="102" spans="1:13">
      <c r="A102" t="s">
        <v>220</v>
      </c>
      <c r="B102" t="s">
        <v>221</v>
      </c>
      <c r="C102" t="s">
        <v>12</v>
      </c>
      <c r="D102" t="s">
        <v>34</v>
      </c>
      <c r="E102" t="s">
        <v>35</v>
      </c>
      <c r="F102" s="2">
        <v>38</v>
      </c>
      <c r="G102" s="2">
        <v>30</v>
      </c>
      <c r="H102" s="2">
        <v>40</v>
      </c>
      <c r="I102" s="2">
        <v>57</v>
      </c>
      <c r="J102" s="2">
        <v>79</v>
      </c>
      <c r="K102" s="2">
        <v>165</v>
      </c>
      <c r="L102" s="2">
        <v>41.2</v>
      </c>
      <c r="M102" t="s">
        <v>17</v>
      </c>
    </row>
    <row r="103" spans="1:13">
      <c r="A103" t="s">
        <v>222</v>
      </c>
      <c r="B103" t="s">
        <v>223</v>
      </c>
      <c r="C103" t="s">
        <v>15</v>
      </c>
      <c r="D103" t="s">
        <v>30</v>
      </c>
      <c r="E103" t="s">
        <v>35</v>
      </c>
      <c r="F103" s="2">
        <v>58</v>
      </c>
      <c r="G103" s="2">
        <v>75</v>
      </c>
      <c r="H103" s="2">
        <v>49</v>
      </c>
      <c r="I103" s="2">
        <v>40</v>
      </c>
      <c r="J103" s="2">
        <v>97</v>
      </c>
      <c r="K103" s="2">
        <v>222</v>
      </c>
      <c r="L103" s="2">
        <v>55.5</v>
      </c>
      <c r="M103" t="s">
        <v>14</v>
      </c>
    </row>
    <row r="104" spans="1:13">
      <c r="A104" t="s">
        <v>224</v>
      </c>
      <c r="B104" t="s">
        <v>225</v>
      </c>
      <c r="C104" t="s">
        <v>15</v>
      </c>
      <c r="D104" t="s">
        <v>40</v>
      </c>
      <c r="E104" t="s">
        <v>35</v>
      </c>
      <c r="F104" s="2">
        <v>63</v>
      </c>
      <c r="G104" s="2">
        <v>51</v>
      </c>
      <c r="H104" s="2">
        <v>87</v>
      </c>
      <c r="I104" s="2">
        <v>81</v>
      </c>
      <c r="J104" s="2">
        <v>89</v>
      </c>
      <c r="K104" s="2">
        <v>282</v>
      </c>
      <c r="L104" s="2">
        <v>70.5</v>
      </c>
      <c r="M104" t="s">
        <v>14</v>
      </c>
    </row>
    <row r="105" spans="1:13">
      <c r="A105" t="s">
        <v>226</v>
      </c>
      <c r="B105" t="s">
        <v>227</v>
      </c>
      <c r="C105" t="s">
        <v>15</v>
      </c>
      <c r="D105" t="s">
        <v>40</v>
      </c>
      <c r="E105" t="s">
        <v>31</v>
      </c>
      <c r="F105" s="2">
        <v>63</v>
      </c>
      <c r="G105" s="2">
        <v>96</v>
      </c>
      <c r="H105" s="2">
        <v>51</v>
      </c>
      <c r="I105" s="2">
        <v>73</v>
      </c>
      <c r="J105" s="2">
        <v>94</v>
      </c>
      <c r="K105" s="2">
        <v>283</v>
      </c>
      <c r="L105" s="2">
        <v>70.8</v>
      </c>
      <c r="M105" t="s">
        <v>14</v>
      </c>
    </row>
    <row r="106" spans="1:13">
      <c r="A106" t="s">
        <v>228</v>
      </c>
      <c r="B106" t="s">
        <v>229</v>
      </c>
      <c r="C106" t="s">
        <v>12</v>
      </c>
      <c r="D106" t="s">
        <v>30</v>
      </c>
      <c r="E106" t="s">
        <v>35</v>
      </c>
      <c r="F106" s="2">
        <v>61</v>
      </c>
      <c r="G106" s="2">
        <v>91</v>
      </c>
      <c r="H106" s="2">
        <v>76</v>
      </c>
      <c r="I106" s="2">
        <v>90</v>
      </c>
      <c r="J106" s="2">
        <v>75</v>
      </c>
      <c r="K106" s="2">
        <v>318</v>
      </c>
      <c r="L106" s="2">
        <v>79.5</v>
      </c>
      <c r="M106" t="s">
        <v>14</v>
      </c>
    </row>
    <row r="107" spans="1:13">
      <c r="A107" t="s">
        <v>230</v>
      </c>
      <c r="B107" t="s">
        <v>231</v>
      </c>
      <c r="C107" t="s">
        <v>18</v>
      </c>
      <c r="D107" t="s">
        <v>30</v>
      </c>
      <c r="E107" t="s">
        <v>31</v>
      </c>
      <c r="F107" s="2">
        <v>77</v>
      </c>
      <c r="G107" s="2">
        <v>66</v>
      </c>
      <c r="H107" s="2">
        <v>76</v>
      </c>
      <c r="I107" s="2">
        <v>80</v>
      </c>
      <c r="J107" s="2">
        <v>97</v>
      </c>
      <c r="K107" s="2">
        <v>299</v>
      </c>
      <c r="L107" s="2">
        <v>74.8</v>
      </c>
      <c r="M107" t="s">
        <v>14</v>
      </c>
    </row>
    <row r="108" spans="1:13">
      <c r="A108" t="s">
        <v>232</v>
      </c>
      <c r="B108" t="s">
        <v>233</v>
      </c>
      <c r="C108" t="s">
        <v>12</v>
      </c>
      <c r="D108" t="s">
        <v>34</v>
      </c>
      <c r="E108" t="s">
        <v>31</v>
      </c>
      <c r="F108" s="2">
        <v>25</v>
      </c>
      <c r="G108" s="2">
        <v>54</v>
      </c>
      <c r="H108" s="2">
        <v>36</v>
      </c>
      <c r="I108" s="2">
        <v>36</v>
      </c>
      <c r="J108" s="2">
        <v>85</v>
      </c>
      <c r="K108" s="2">
        <v>151</v>
      </c>
      <c r="L108" s="2">
        <v>37.799999999999997</v>
      </c>
      <c r="M108" t="s">
        <v>17</v>
      </c>
    </row>
    <row r="109" spans="1:13">
      <c r="A109" t="s">
        <v>234</v>
      </c>
      <c r="B109" t="s">
        <v>119</v>
      </c>
      <c r="C109" t="s">
        <v>18</v>
      </c>
      <c r="D109" t="s">
        <v>30</v>
      </c>
      <c r="E109" t="s">
        <v>35</v>
      </c>
      <c r="F109" s="2">
        <v>52</v>
      </c>
      <c r="G109" s="2">
        <v>48</v>
      </c>
      <c r="H109" s="2">
        <v>57</v>
      </c>
      <c r="I109" s="2">
        <v>47</v>
      </c>
      <c r="J109" s="2">
        <v>86</v>
      </c>
      <c r="K109" s="2">
        <v>204</v>
      </c>
      <c r="L109" s="2">
        <v>51</v>
      </c>
      <c r="M109" t="s">
        <v>14</v>
      </c>
    </row>
    <row r="110" spans="1:13">
      <c r="A110" t="s">
        <v>235</v>
      </c>
      <c r="B110" t="s">
        <v>236</v>
      </c>
      <c r="C110" t="s">
        <v>12</v>
      </c>
      <c r="D110" t="s">
        <v>40</v>
      </c>
      <c r="E110" t="s">
        <v>35</v>
      </c>
      <c r="F110" s="2">
        <v>48</v>
      </c>
      <c r="G110" s="2">
        <v>36</v>
      </c>
      <c r="H110" s="2">
        <v>44</v>
      </c>
      <c r="I110" s="2">
        <v>41</v>
      </c>
      <c r="J110" s="2">
        <v>85</v>
      </c>
      <c r="K110" s="2">
        <v>169</v>
      </c>
      <c r="L110" s="2">
        <v>42.2</v>
      </c>
      <c r="M110" t="s">
        <v>14</v>
      </c>
    </row>
    <row r="111" spans="1:13">
      <c r="A111" t="s">
        <v>237</v>
      </c>
      <c r="B111" t="s">
        <v>238</v>
      </c>
      <c r="C111" t="s">
        <v>15</v>
      </c>
      <c r="D111" t="s">
        <v>34</v>
      </c>
      <c r="E111" t="s">
        <v>35</v>
      </c>
      <c r="F111" s="2">
        <v>100</v>
      </c>
      <c r="G111" s="2">
        <v>97</v>
      </c>
      <c r="H111" s="2">
        <v>93</v>
      </c>
      <c r="I111" s="2">
        <v>65</v>
      </c>
      <c r="J111" s="2">
        <v>87</v>
      </c>
      <c r="K111" s="2">
        <v>355</v>
      </c>
      <c r="L111" s="2">
        <v>88.8</v>
      </c>
      <c r="M111" t="s">
        <v>14</v>
      </c>
    </row>
    <row r="112" spans="1:13">
      <c r="A112" t="s">
        <v>239</v>
      </c>
      <c r="B112" t="s">
        <v>240</v>
      </c>
      <c r="C112" t="s">
        <v>15</v>
      </c>
      <c r="D112" t="s">
        <v>30</v>
      </c>
      <c r="E112" t="s">
        <v>31</v>
      </c>
      <c r="F112" s="2">
        <v>55</v>
      </c>
      <c r="G112" s="2">
        <v>67</v>
      </c>
      <c r="H112" s="2">
        <v>58</v>
      </c>
      <c r="I112" s="2">
        <v>53</v>
      </c>
      <c r="J112" s="2">
        <v>63</v>
      </c>
      <c r="K112" s="2">
        <v>233</v>
      </c>
      <c r="L112" s="2">
        <v>58.2</v>
      </c>
      <c r="M112" t="s">
        <v>14</v>
      </c>
    </row>
    <row r="113" spans="1:13">
      <c r="A113" t="s">
        <v>241</v>
      </c>
      <c r="B113" t="s">
        <v>242</v>
      </c>
      <c r="C113" t="s">
        <v>12</v>
      </c>
      <c r="D113" t="s">
        <v>40</v>
      </c>
      <c r="E113" t="s">
        <v>31</v>
      </c>
      <c r="F113" s="2">
        <v>86</v>
      </c>
      <c r="G113" s="2">
        <v>83</v>
      </c>
      <c r="H113" s="2">
        <v>100</v>
      </c>
      <c r="I113" s="2">
        <v>79</v>
      </c>
      <c r="J113" s="2">
        <v>64</v>
      </c>
      <c r="K113" s="2">
        <v>348</v>
      </c>
      <c r="L113" s="2">
        <v>87</v>
      </c>
      <c r="M113" t="s">
        <v>14</v>
      </c>
    </row>
    <row r="114" spans="1:13">
      <c r="A114" t="s">
        <v>243</v>
      </c>
      <c r="B114" t="s">
        <v>244</v>
      </c>
      <c r="C114" t="s">
        <v>12</v>
      </c>
      <c r="D114" t="s">
        <v>34</v>
      </c>
      <c r="E114" t="s">
        <v>35</v>
      </c>
      <c r="F114" s="2">
        <v>56</v>
      </c>
      <c r="G114" s="2">
        <v>45</v>
      </c>
      <c r="H114" s="2">
        <v>53</v>
      </c>
      <c r="I114" s="2">
        <v>53</v>
      </c>
      <c r="J114" s="2">
        <v>99</v>
      </c>
      <c r="K114" s="2">
        <v>207</v>
      </c>
      <c r="L114" s="2">
        <v>51.8</v>
      </c>
      <c r="M114" t="s">
        <v>14</v>
      </c>
    </row>
    <row r="115" spans="1:13">
      <c r="A115" t="s">
        <v>245</v>
      </c>
      <c r="B115" t="s">
        <v>213</v>
      </c>
      <c r="C115" t="s">
        <v>15</v>
      </c>
      <c r="D115" t="s">
        <v>34</v>
      </c>
      <c r="E115" t="s">
        <v>35</v>
      </c>
      <c r="F115" s="2">
        <v>78</v>
      </c>
      <c r="G115" s="2">
        <v>67</v>
      </c>
      <c r="H115" s="2">
        <v>66</v>
      </c>
      <c r="I115" s="2">
        <v>55</v>
      </c>
      <c r="J115" s="2">
        <v>83</v>
      </c>
      <c r="K115" s="2">
        <v>266</v>
      </c>
      <c r="L115" s="2">
        <v>66.5</v>
      </c>
      <c r="M115" t="s">
        <v>14</v>
      </c>
    </row>
    <row r="116" spans="1:13">
      <c r="A116" t="s">
        <v>246</v>
      </c>
      <c r="B116" t="s">
        <v>247</v>
      </c>
      <c r="C116" t="s">
        <v>15</v>
      </c>
      <c r="D116" t="s">
        <v>40</v>
      </c>
      <c r="E116" t="s">
        <v>31</v>
      </c>
      <c r="F116" s="2">
        <v>63</v>
      </c>
      <c r="G116" s="2">
        <v>82</v>
      </c>
      <c r="H116" s="2">
        <v>53</v>
      </c>
      <c r="I116" s="2">
        <v>79</v>
      </c>
      <c r="J116" s="2">
        <v>65</v>
      </c>
      <c r="K116" s="2">
        <v>277</v>
      </c>
      <c r="L116" s="2">
        <v>69.2</v>
      </c>
      <c r="M116" t="s">
        <v>14</v>
      </c>
    </row>
    <row r="117" spans="1:13">
      <c r="A117" t="s">
        <v>248</v>
      </c>
      <c r="B117" t="s">
        <v>213</v>
      </c>
      <c r="C117" t="s">
        <v>15</v>
      </c>
      <c r="D117" t="s">
        <v>34</v>
      </c>
      <c r="E117" t="s">
        <v>31</v>
      </c>
      <c r="F117" s="2">
        <v>93</v>
      </c>
      <c r="G117" s="2">
        <v>80</v>
      </c>
      <c r="H117" s="2">
        <v>93</v>
      </c>
      <c r="I117" s="2">
        <v>75</v>
      </c>
      <c r="J117" s="2">
        <v>73</v>
      </c>
      <c r="K117" s="2">
        <v>341</v>
      </c>
      <c r="L117" s="2">
        <v>85.2</v>
      </c>
      <c r="M117" t="s">
        <v>14</v>
      </c>
    </row>
    <row r="118" spans="1:13">
      <c r="A118" t="s">
        <v>249</v>
      </c>
      <c r="B118" t="s">
        <v>250</v>
      </c>
      <c r="C118" t="s">
        <v>18</v>
      </c>
      <c r="D118" t="s">
        <v>30</v>
      </c>
      <c r="E118" t="s">
        <v>35</v>
      </c>
      <c r="F118" s="2">
        <v>59</v>
      </c>
      <c r="G118" s="2">
        <v>57</v>
      </c>
      <c r="H118" s="2">
        <v>47</v>
      </c>
      <c r="I118" s="2">
        <v>82</v>
      </c>
      <c r="J118" s="2">
        <v>89</v>
      </c>
      <c r="K118" s="2">
        <v>245</v>
      </c>
      <c r="L118" s="2">
        <v>61.2</v>
      </c>
      <c r="M118" t="s">
        <v>14</v>
      </c>
    </row>
    <row r="119" spans="1:13">
      <c r="A119" t="s">
        <v>251</v>
      </c>
      <c r="B119" t="s">
        <v>59</v>
      </c>
      <c r="C119" t="s">
        <v>18</v>
      </c>
      <c r="D119" t="s">
        <v>40</v>
      </c>
      <c r="E119" t="s">
        <v>31</v>
      </c>
      <c r="F119" s="2">
        <v>75</v>
      </c>
      <c r="G119" s="2">
        <v>82</v>
      </c>
      <c r="H119" s="2">
        <v>88</v>
      </c>
      <c r="I119" s="2">
        <v>82</v>
      </c>
      <c r="J119" s="2">
        <v>81</v>
      </c>
      <c r="K119" s="2">
        <v>327</v>
      </c>
      <c r="L119" s="2">
        <v>81.8</v>
      </c>
      <c r="M119" t="s">
        <v>14</v>
      </c>
    </row>
    <row r="120" spans="1:13">
      <c r="A120" t="s">
        <v>252</v>
      </c>
      <c r="B120" t="s">
        <v>253</v>
      </c>
      <c r="C120" t="s">
        <v>18</v>
      </c>
      <c r="D120" t="s">
        <v>40</v>
      </c>
      <c r="E120" t="s">
        <v>31</v>
      </c>
      <c r="F120" s="2">
        <v>89</v>
      </c>
      <c r="G120" s="2">
        <v>87</v>
      </c>
      <c r="H120" s="2">
        <v>81</v>
      </c>
      <c r="I120" s="2">
        <v>100</v>
      </c>
      <c r="J120" s="2">
        <v>96</v>
      </c>
      <c r="K120" s="2">
        <v>357</v>
      </c>
      <c r="L120" s="2">
        <v>89.2</v>
      </c>
      <c r="M120" t="s">
        <v>14</v>
      </c>
    </row>
    <row r="121" spans="1:13">
      <c r="A121" t="s">
        <v>254</v>
      </c>
      <c r="B121" t="s">
        <v>255</v>
      </c>
      <c r="C121" t="s">
        <v>15</v>
      </c>
      <c r="D121" t="s">
        <v>34</v>
      </c>
      <c r="E121" t="s">
        <v>35</v>
      </c>
      <c r="F121" s="2">
        <v>43</v>
      </c>
      <c r="G121" s="2">
        <v>47</v>
      </c>
      <c r="H121" s="2">
        <v>81</v>
      </c>
      <c r="I121" s="2">
        <v>36</v>
      </c>
      <c r="J121" s="2">
        <v>78</v>
      </c>
      <c r="K121" s="2">
        <v>207</v>
      </c>
      <c r="L121" s="2">
        <v>51.8</v>
      </c>
      <c r="M121" t="s">
        <v>14</v>
      </c>
    </row>
    <row r="122" spans="1:13">
      <c r="A122" t="s">
        <v>256</v>
      </c>
      <c r="B122" t="s">
        <v>257</v>
      </c>
      <c r="C122" t="s">
        <v>18</v>
      </c>
      <c r="D122" t="s">
        <v>40</v>
      </c>
      <c r="E122" t="s">
        <v>31</v>
      </c>
      <c r="F122" s="2">
        <v>81</v>
      </c>
      <c r="G122" s="2">
        <v>45</v>
      </c>
      <c r="H122" s="2">
        <v>66</v>
      </c>
      <c r="I122" s="2">
        <v>60</v>
      </c>
      <c r="J122" s="2">
        <v>82</v>
      </c>
      <c r="K122" s="2">
        <v>252</v>
      </c>
      <c r="L122" s="2">
        <v>63</v>
      </c>
      <c r="M122" t="s">
        <v>14</v>
      </c>
    </row>
    <row r="123" spans="1:13">
      <c r="A123" t="s">
        <v>258</v>
      </c>
      <c r="B123" t="s">
        <v>259</v>
      </c>
      <c r="C123" t="s">
        <v>18</v>
      </c>
      <c r="D123" t="s">
        <v>40</v>
      </c>
      <c r="E123" t="s">
        <v>31</v>
      </c>
      <c r="F123" s="2">
        <v>65</v>
      </c>
      <c r="G123" s="2">
        <v>93</v>
      </c>
      <c r="H123" s="2">
        <v>89</v>
      </c>
      <c r="I123" s="2">
        <v>64</v>
      </c>
      <c r="J123" s="2">
        <v>92</v>
      </c>
      <c r="K123" s="2">
        <v>311</v>
      </c>
      <c r="L123" s="2">
        <v>77.8</v>
      </c>
      <c r="M123" t="s">
        <v>14</v>
      </c>
    </row>
    <row r="124" spans="1:13">
      <c r="A124" t="s">
        <v>260</v>
      </c>
      <c r="B124" t="s">
        <v>261</v>
      </c>
      <c r="C124" t="s">
        <v>15</v>
      </c>
      <c r="D124" t="s">
        <v>30</v>
      </c>
      <c r="E124" t="s">
        <v>31</v>
      </c>
      <c r="F124" s="2">
        <v>58</v>
      </c>
      <c r="G124" s="2">
        <v>97</v>
      </c>
      <c r="H124" s="2">
        <v>87</v>
      </c>
      <c r="I124" s="2">
        <v>69</v>
      </c>
      <c r="J124" s="2">
        <v>73</v>
      </c>
      <c r="K124" s="2">
        <v>311</v>
      </c>
      <c r="L124" s="2">
        <v>77.8</v>
      </c>
      <c r="M124" t="s">
        <v>14</v>
      </c>
    </row>
    <row r="125" spans="1:13">
      <c r="A125" t="s">
        <v>262</v>
      </c>
      <c r="B125" t="s">
        <v>259</v>
      </c>
      <c r="C125" t="s">
        <v>18</v>
      </c>
      <c r="D125" t="s">
        <v>40</v>
      </c>
      <c r="E125" t="s">
        <v>31</v>
      </c>
      <c r="F125" s="2">
        <v>100</v>
      </c>
      <c r="G125" s="2">
        <v>70</v>
      </c>
      <c r="H125" s="2">
        <v>100</v>
      </c>
      <c r="I125" s="2">
        <v>79</v>
      </c>
      <c r="J125" s="2">
        <v>66</v>
      </c>
      <c r="K125" s="2">
        <v>349</v>
      </c>
      <c r="L125" s="2">
        <v>87.2</v>
      </c>
      <c r="M125" t="s">
        <v>14</v>
      </c>
    </row>
    <row r="126" spans="1:13">
      <c r="A126" t="s">
        <v>263</v>
      </c>
      <c r="B126" t="s">
        <v>264</v>
      </c>
      <c r="C126" t="s">
        <v>15</v>
      </c>
      <c r="D126" t="s">
        <v>40</v>
      </c>
      <c r="E126" t="s">
        <v>31</v>
      </c>
      <c r="F126" s="2">
        <v>53</v>
      </c>
      <c r="G126" s="2">
        <v>56</v>
      </c>
      <c r="H126" s="2">
        <v>83</v>
      </c>
      <c r="I126" s="2">
        <v>48</v>
      </c>
      <c r="J126" s="2">
        <v>97</v>
      </c>
      <c r="K126" s="2">
        <v>240</v>
      </c>
      <c r="L126" s="2">
        <v>60</v>
      </c>
      <c r="M126" t="s">
        <v>14</v>
      </c>
    </row>
    <row r="127" spans="1:13">
      <c r="A127" t="s">
        <v>265</v>
      </c>
      <c r="B127" t="s">
        <v>266</v>
      </c>
      <c r="C127" t="s">
        <v>15</v>
      </c>
      <c r="D127" t="s">
        <v>34</v>
      </c>
      <c r="E127" t="s">
        <v>31</v>
      </c>
      <c r="F127" s="2">
        <v>86</v>
      </c>
      <c r="G127" s="2">
        <v>90</v>
      </c>
      <c r="H127" s="2">
        <v>78</v>
      </c>
      <c r="I127" s="2">
        <v>100</v>
      </c>
      <c r="J127" s="2">
        <v>100</v>
      </c>
      <c r="K127" s="2">
        <v>354</v>
      </c>
      <c r="L127" s="2">
        <v>88.5</v>
      </c>
      <c r="M127" t="s">
        <v>14</v>
      </c>
    </row>
    <row r="128" spans="1:13">
      <c r="A128" t="s">
        <v>267</v>
      </c>
      <c r="B128" t="s">
        <v>268</v>
      </c>
      <c r="C128" t="s">
        <v>12</v>
      </c>
      <c r="D128" t="s">
        <v>30</v>
      </c>
      <c r="E128" t="s">
        <v>35</v>
      </c>
      <c r="F128" s="2">
        <v>69</v>
      </c>
      <c r="G128" s="2">
        <v>80</v>
      </c>
      <c r="H128" s="2">
        <v>74</v>
      </c>
      <c r="I128" s="2">
        <v>50</v>
      </c>
      <c r="J128" s="2">
        <v>100</v>
      </c>
      <c r="K128" s="2">
        <v>273</v>
      </c>
      <c r="L128" s="2">
        <v>68.2</v>
      </c>
      <c r="M128" t="s">
        <v>14</v>
      </c>
    </row>
    <row r="129" spans="1:13">
      <c r="A129" t="s">
        <v>269</v>
      </c>
      <c r="B129" t="s">
        <v>257</v>
      </c>
      <c r="C129" t="s">
        <v>18</v>
      </c>
      <c r="D129" t="s">
        <v>30</v>
      </c>
      <c r="E129" t="s">
        <v>31</v>
      </c>
      <c r="F129" s="2">
        <v>48</v>
      </c>
      <c r="G129" s="2">
        <v>60</v>
      </c>
      <c r="H129" s="2">
        <v>69</v>
      </c>
      <c r="I129" s="2">
        <v>46</v>
      </c>
      <c r="J129" s="2">
        <v>81</v>
      </c>
      <c r="K129" s="2">
        <v>223</v>
      </c>
      <c r="L129" s="2">
        <v>55.8</v>
      </c>
      <c r="M129" t="s">
        <v>14</v>
      </c>
    </row>
    <row r="130" spans="1:13">
      <c r="A130" t="s">
        <v>270</v>
      </c>
      <c r="B130" t="s">
        <v>137</v>
      </c>
      <c r="C130" t="s">
        <v>15</v>
      </c>
      <c r="D130" t="s">
        <v>34</v>
      </c>
      <c r="E130" t="s">
        <v>31</v>
      </c>
      <c r="F130" s="2">
        <v>73</v>
      </c>
      <c r="G130" s="2">
        <v>83</v>
      </c>
      <c r="H130" s="2">
        <v>58</v>
      </c>
      <c r="I130" s="2">
        <v>80</v>
      </c>
      <c r="J130" s="2">
        <v>100</v>
      </c>
      <c r="K130" s="2">
        <v>294</v>
      </c>
      <c r="L130" s="2">
        <v>73.5</v>
      </c>
      <c r="M130" t="s">
        <v>14</v>
      </c>
    </row>
    <row r="131" spans="1:13">
      <c r="A131" t="s">
        <v>271</v>
      </c>
      <c r="B131" t="s">
        <v>272</v>
      </c>
      <c r="C131" t="s">
        <v>15</v>
      </c>
      <c r="D131" t="s">
        <v>30</v>
      </c>
      <c r="E131" t="s">
        <v>35</v>
      </c>
      <c r="F131" s="2">
        <v>59</v>
      </c>
      <c r="G131" s="2">
        <v>62</v>
      </c>
      <c r="H131" s="2">
        <v>84</v>
      </c>
      <c r="I131" s="2">
        <v>74</v>
      </c>
      <c r="J131" s="2">
        <v>78</v>
      </c>
      <c r="K131" s="2">
        <v>279</v>
      </c>
      <c r="L131" s="2">
        <v>69.8</v>
      </c>
      <c r="M131" t="s">
        <v>14</v>
      </c>
    </row>
    <row r="132" spans="1:13">
      <c r="A132" t="s">
        <v>273</v>
      </c>
      <c r="B132" t="s">
        <v>223</v>
      </c>
      <c r="C132" t="s">
        <v>12</v>
      </c>
      <c r="D132" t="s">
        <v>30</v>
      </c>
      <c r="E132" t="s">
        <v>35</v>
      </c>
      <c r="F132" s="2">
        <v>30</v>
      </c>
      <c r="G132" s="2">
        <v>37</v>
      </c>
      <c r="H132" s="2">
        <v>66</v>
      </c>
      <c r="I132" s="2">
        <v>38</v>
      </c>
      <c r="J132" s="2">
        <v>71</v>
      </c>
      <c r="K132" s="2">
        <v>171</v>
      </c>
      <c r="L132" s="2">
        <v>42.8</v>
      </c>
      <c r="M132" t="s">
        <v>17</v>
      </c>
    </row>
    <row r="133" spans="1:13">
      <c r="A133" t="s">
        <v>274</v>
      </c>
      <c r="B133" t="s">
        <v>275</v>
      </c>
      <c r="C133" t="s">
        <v>12</v>
      </c>
      <c r="D133" t="s">
        <v>34</v>
      </c>
      <c r="E133" t="s">
        <v>31</v>
      </c>
      <c r="F133" s="2">
        <v>88</v>
      </c>
      <c r="G133" s="2">
        <v>80</v>
      </c>
      <c r="H133" s="2">
        <v>82</v>
      </c>
      <c r="I133" s="2">
        <v>88</v>
      </c>
      <c r="J133" s="2">
        <v>87</v>
      </c>
      <c r="K133" s="2">
        <v>338</v>
      </c>
      <c r="L133" s="2">
        <v>84.5</v>
      </c>
      <c r="M133" t="s">
        <v>14</v>
      </c>
    </row>
    <row r="134" spans="1:13">
      <c r="A134" t="s">
        <v>276</v>
      </c>
      <c r="B134" t="s">
        <v>277</v>
      </c>
      <c r="C134" t="s">
        <v>18</v>
      </c>
      <c r="D134" t="s">
        <v>30</v>
      </c>
      <c r="E134" t="s">
        <v>31</v>
      </c>
      <c r="F134" s="2">
        <v>89</v>
      </c>
      <c r="G134" s="2">
        <v>74</v>
      </c>
      <c r="H134" s="2">
        <v>66</v>
      </c>
      <c r="I134" s="2">
        <v>72</v>
      </c>
      <c r="J134" s="2">
        <v>98</v>
      </c>
      <c r="K134" s="2">
        <v>301</v>
      </c>
      <c r="L134" s="2">
        <v>75.2</v>
      </c>
      <c r="M134" t="s">
        <v>14</v>
      </c>
    </row>
    <row r="135" spans="1:13">
      <c r="A135" t="s">
        <v>278</v>
      </c>
      <c r="B135" t="s">
        <v>279</v>
      </c>
      <c r="C135" t="s">
        <v>18</v>
      </c>
      <c r="D135" t="s">
        <v>40</v>
      </c>
      <c r="E135" t="s">
        <v>35</v>
      </c>
      <c r="F135" s="2">
        <v>64</v>
      </c>
      <c r="G135" s="2">
        <v>74</v>
      </c>
      <c r="H135" s="2">
        <v>57</v>
      </c>
      <c r="I135" s="2">
        <v>53</v>
      </c>
      <c r="J135" s="2">
        <v>66</v>
      </c>
      <c r="K135" s="2">
        <v>248</v>
      </c>
      <c r="L135" s="2">
        <v>62</v>
      </c>
      <c r="M135" t="s">
        <v>14</v>
      </c>
    </row>
    <row r="136" spans="1:13">
      <c r="A136" t="s">
        <v>280</v>
      </c>
      <c r="B136" t="s">
        <v>149</v>
      </c>
      <c r="C136" t="s">
        <v>15</v>
      </c>
      <c r="D136" t="s">
        <v>34</v>
      </c>
      <c r="E136" t="s">
        <v>31</v>
      </c>
      <c r="F136" s="2">
        <v>93</v>
      </c>
      <c r="G136" s="2">
        <v>53</v>
      </c>
      <c r="H136" s="2">
        <v>90</v>
      </c>
      <c r="I136" s="2">
        <v>69</v>
      </c>
      <c r="J136" s="2">
        <v>95</v>
      </c>
      <c r="K136" s="2">
        <v>305</v>
      </c>
      <c r="L136" s="2">
        <v>76.2</v>
      </c>
      <c r="M136" t="s">
        <v>14</v>
      </c>
    </row>
    <row r="137" spans="1:13">
      <c r="A137" t="s">
        <v>281</v>
      </c>
      <c r="B137" t="s">
        <v>133</v>
      </c>
      <c r="C137" t="s">
        <v>18</v>
      </c>
      <c r="D137" t="s">
        <v>40</v>
      </c>
      <c r="E137" t="s">
        <v>31</v>
      </c>
      <c r="F137" s="2">
        <v>79</v>
      </c>
      <c r="G137" s="2">
        <v>31</v>
      </c>
      <c r="H137" s="2">
        <v>47</v>
      </c>
      <c r="I137" s="2">
        <v>63</v>
      </c>
      <c r="J137" s="2">
        <v>72</v>
      </c>
      <c r="K137" s="2">
        <v>220</v>
      </c>
      <c r="L137" s="2">
        <v>55</v>
      </c>
      <c r="M137" t="s">
        <v>17</v>
      </c>
    </row>
    <row r="138" spans="1:13">
      <c r="A138" t="s">
        <v>282</v>
      </c>
      <c r="B138" t="s">
        <v>283</v>
      </c>
      <c r="C138" t="s">
        <v>15</v>
      </c>
      <c r="D138" t="s">
        <v>40</v>
      </c>
      <c r="E138" t="s">
        <v>35</v>
      </c>
      <c r="F138" s="2">
        <v>86</v>
      </c>
      <c r="G138" s="2">
        <v>100</v>
      </c>
      <c r="H138" s="2">
        <v>98</v>
      </c>
      <c r="I138" s="2">
        <v>88</v>
      </c>
      <c r="J138" s="2">
        <v>81</v>
      </c>
      <c r="K138" s="2">
        <v>372</v>
      </c>
      <c r="L138" s="2">
        <v>93</v>
      </c>
      <c r="M138" t="s">
        <v>14</v>
      </c>
    </row>
    <row r="139" spans="1:13">
      <c r="A139" t="s">
        <v>284</v>
      </c>
      <c r="B139" t="s">
        <v>285</v>
      </c>
      <c r="C139" t="s">
        <v>18</v>
      </c>
      <c r="D139" t="s">
        <v>34</v>
      </c>
      <c r="E139" t="s">
        <v>35</v>
      </c>
      <c r="F139" s="2">
        <v>62</v>
      </c>
      <c r="G139" s="2">
        <v>46</v>
      </c>
      <c r="H139" s="2">
        <v>40</v>
      </c>
      <c r="I139" s="2">
        <v>39</v>
      </c>
      <c r="J139" s="2">
        <v>76</v>
      </c>
      <c r="K139" s="2">
        <v>187</v>
      </c>
      <c r="L139" s="2">
        <v>46.8</v>
      </c>
      <c r="M139" t="s">
        <v>14</v>
      </c>
    </row>
    <row r="140" spans="1:13">
      <c r="A140" t="s">
        <v>286</v>
      </c>
      <c r="B140" t="s">
        <v>287</v>
      </c>
      <c r="C140" t="s">
        <v>15</v>
      </c>
      <c r="D140" t="s">
        <v>40</v>
      </c>
      <c r="E140" t="s">
        <v>35</v>
      </c>
      <c r="F140" s="2">
        <v>68</v>
      </c>
      <c r="G140" s="2">
        <v>46</v>
      </c>
      <c r="H140" s="2">
        <v>68</v>
      </c>
      <c r="I140" s="2">
        <v>36</v>
      </c>
      <c r="J140" s="2">
        <v>97</v>
      </c>
      <c r="K140" s="2">
        <v>218</v>
      </c>
      <c r="L140" s="2">
        <v>54.5</v>
      </c>
      <c r="M140" t="s">
        <v>14</v>
      </c>
    </row>
    <row r="141" spans="1:13">
      <c r="A141" t="s">
        <v>288</v>
      </c>
      <c r="B141" t="s">
        <v>289</v>
      </c>
      <c r="C141" t="s">
        <v>18</v>
      </c>
      <c r="D141" t="s">
        <v>34</v>
      </c>
      <c r="E141" t="s">
        <v>35</v>
      </c>
      <c r="F141" s="2">
        <v>58</v>
      </c>
      <c r="G141" s="2">
        <v>64</v>
      </c>
      <c r="H141" s="2">
        <v>76</v>
      </c>
      <c r="I141" s="2">
        <v>60</v>
      </c>
      <c r="J141" s="2">
        <v>82</v>
      </c>
      <c r="K141" s="2">
        <v>258</v>
      </c>
      <c r="L141" s="2">
        <v>64.5</v>
      </c>
      <c r="M141" t="s">
        <v>14</v>
      </c>
    </row>
    <row r="142" spans="1:13">
      <c r="A142" t="s">
        <v>290</v>
      </c>
      <c r="B142" t="s">
        <v>149</v>
      </c>
      <c r="C142" t="s">
        <v>15</v>
      </c>
      <c r="D142" t="s">
        <v>30</v>
      </c>
      <c r="E142" t="s">
        <v>35</v>
      </c>
      <c r="F142" s="2">
        <v>52</v>
      </c>
      <c r="G142" s="2">
        <v>63</v>
      </c>
      <c r="H142" s="2">
        <v>27</v>
      </c>
      <c r="I142" s="2">
        <v>38</v>
      </c>
      <c r="J142" s="2">
        <v>88</v>
      </c>
      <c r="K142" s="2">
        <v>180</v>
      </c>
      <c r="L142" s="2">
        <v>45</v>
      </c>
      <c r="M142" t="s">
        <v>17</v>
      </c>
    </row>
    <row r="143" spans="1:13">
      <c r="A143" t="s">
        <v>291</v>
      </c>
      <c r="B143" t="s">
        <v>292</v>
      </c>
      <c r="C143" t="s">
        <v>18</v>
      </c>
      <c r="D143" t="s">
        <v>30</v>
      </c>
      <c r="E143" t="s">
        <v>35</v>
      </c>
      <c r="F143" s="2">
        <v>49</v>
      </c>
      <c r="G143" s="2">
        <v>65</v>
      </c>
      <c r="H143" s="2">
        <v>35</v>
      </c>
      <c r="I143" s="2">
        <v>43</v>
      </c>
      <c r="J143" s="2">
        <v>81</v>
      </c>
      <c r="K143" s="2">
        <v>192</v>
      </c>
      <c r="L143" s="2">
        <v>48</v>
      </c>
      <c r="M143" t="s">
        <v>14</v>
      </c>
    </row>
    <row r="144" spans="1:13">
      <c r="A144" t="s">
        <v>293</v>
      </c>
      <c r="B144" t="s">
        <v>287</v>
      </c>
      <c r="C144" t="s">
        <v>18</v>
      </c>
      <c r="D144" t="s">
        <v>40</v>
      </c>
      <c r="E144" t="s">
        <v>31</v>
      </c>
      <c r="F144" s="2">
        <v>95</v>
      </c>
      <c r="G144" s="2">
        <v>45</v>
      </c>
      <c r="H144" s="2">
        <v>45</v>
      </c>
      <c r="I144" s="2">
        <v>75</v>
      </c>
      <c r="J144" s="2">
        <v>80</v>
      </c>
      <c r="K144" s="2">
        <v>260</v>
      </c>
      <c r="L144" s="2">
        <v>65</v>
      </c>
      <c r="M144" t="s">
        <v>14</v>
      </c>
    </row>
    <row r="145" spans="1:13">
      <c r="A145" t="s">
        <v>294</v>
      </c>
      <c r="B145" t="s">
        <v>295</v>
      </c>
      <c r="C145" t="s">
        <v>15</v>
      </c>
      <c r="D145" t="s">
        <v>34</v>
      </c>
      <c r="E145" t="s">
        <v>31</v>
      </c>
      <c r="F145" s="2">
        <v>53</v>
      </c>
      <c r="G145" s="2">
        <v>35</v>
      </c>
      <c r="H145" s="2">
        <v>56</v>
      </c>
      <c r="I145" s="2">
        <v>47</v>
      </c>
      <c r="J145" s="2">
        <v>83</v>
      </c>
      <c r="K145" s="2">
        <v>191</v>
      </c>
      <c r="L145" s="2">
        <v>47.8</v>
      </c>
      <c r="M145" t="s">
        <v>14</v>
      </c>
    </row>
    <row r="146" spans="1:13">
      <c r="A146" t="s">
        <v>296</v>
      </c>
      <c r="B146" t="s">
        <v>297</v>
      </c>
      <c r="C146" t="s">
        <v>15</v>
      </c>
      <c r="D146" t="s">
        <v>34</v>
      </c>
      <c r="E146" t="s">
        <v>35</v>
      </c>
      <c r="F146" s="2">
        <v>100</v>
      </c>
      <c r="G146" s="2">
        <v>84</v>
      </c>
      <c r="H146" s="2">
        <v>85</v>
      </c>
      <c r="I146" s="2">
        <v>78</v>
      </c>
      <c r="J146" s="2">
        <v>100</v>
      </c>
      <c r="K146" s="2">
        <v>347</v>
      </c>
      <c r="L146" s="2">
        <v>86.8</v>
      </c>
      <c r="M146" t="s">
        <v>14</v>
      </c>
    </row>
    <row r="147" spans="1:13">
      <c r="A147" t="s">
        <v>298</v>
      </c>
      <c r="B147" t="s">
        <v>299</v>
      </c>
      <c r="C147" t="s">
        <v>12</v>
      </c>
      <c r="D147" t="s">
        <v>40</v>
      </c>
      <c r="E147" t="s">
        <v>35</v>
      </c>
      <c r="F147" s="2">
        <v>52</v>
      </c>
      <c r="G147" s="2">
        <v>48</v>
      </c>
      <c r="H147" s="2">
        <v>44</v>
      </c>
      <c r="I147" s="2">
        <v>46</v>
      </c>
      <c r="J147" s="2">
        <v>82</v>
      </c>
      <c r="K147" s="2">
        <v>190</v>
      </c>
      <c r="L147" s="2">
        <v>47.5</v>
      </c>
      <c r="M147" t="s">
        <v>14</v>
      </c>
    </row>
    <row r="148" spans="1:13">
      <c r="A148" t="s">
        <v>300</v>
      </c>
      <c r="B148" t="s">
        <v>297</v>
      </c>
      <c r="C148" t="s">
        <v>12</v>
      </c>
      <c r="D148" t="s">
        <v>40</v>
      </c>
      <c r="E148" t="s">
        <v>35</v>
      </c>
      <c r="F148" s="2">
        <v>21</v>
      </c>
      <c r="G148" s="2">
        <v>44</v>
      </c>
      <c r="H148" s="2">
        <v>28</v>
      </c>
      <c r="I148" s="2">
        <v>46</v>
      </c>
      <c r="J148" s="2">
        <v>86</v>
      </c>
      <c r="K148" s="2">
        <v>139</v>
      </c>
      <c r="L148" s="2">
        <v>34.799999999999997</v>
      </c>
      <c r="M148" t="s">
        <v>17</v>
      </c>
    </row>
    <row r="149" spans="1:13">
      <c r="A149" t="s">
        <v>301</v>
      </c>
      <c r="B149" t="s">
        <v>302</v>
      </c>
      <c r="C149" t="s">
        <v>18</v>
      </c>
      <c r="D149" t="s">
        <v>30</v>
      </c>
      <c r="E149" t="s">
        <v>31</v>
      </c>
      <c r="F149" s="2">
        <v>62</v>
      </c>
      <c r="G149" s="2">
        <v>50</v>
      </c>
      <c r="H149" s="2">
        <v>54</v>
      </c>
      <c r="I149" s="2">
        <v>72</v>
      </c>
      <c r="J149" s="2">
        <v>94</v>
      </c>
      <c r="K149" s="2">
        <v>238</v>
      </c>
      <c r="L149" s="2">
        <v>59.5</v>
      </c>
      <c r="M149" t="s">
        <v>14</v>
      </c>
    </row>
    <row r="150" spans="1:13">
      <c r="A150" t="s">
        <v>303</v>
      </c>
      <c r="B150" t="s">
        <v>304</v>
      </c>
      <c r="C150" t="s">
        <v>18</v>
      </c>
      <c r="D150" t="s">
        <v>40</v>
      </c>
      <c r="E150" t="s">
        <v>35</v>
      </c>
      <c r="F150" s="2">
        <v>88</v>
      </c>
      <c r="G150" s="2">
        <v>84</v>
      </c>
      <c r="H150" s="2">
        <v>99</v>
      </c>
      <c r="I150" s="2">
        <v>100</v>
      </c>
      <c r="J150" s="2">
        <v>97</v>
      </c>
      <c r="K150" s="2">
        <v>371</v>
      </c>
      <c r="L150" s="2">
        <v>92.8</v>
      </c>
      <c r="M150" t="s">
        <v>14</v>
      </c>
    </row>
    <row r="151" spans="1:13">
      <c r="A151" t="s">
        <v>305</v>
      </c>
      <c r="B151" t="s">
        <v>215</v>
      </c>
      <c r="C151" t="s">
        <v>18</v>
      </c>
      <c r="D151" t="s">
        <v>30</v>
      </c>
      <c r="E151" t="s">
        <v>31</v>
      </c>
      <c r="F151" s="2">
        <v>86</v>
      </c>
      <c r="G151" s="2">
        <v>91</v>
      </c>
      <c r="H151" s="2">
        <v>96</v>
      </c>
      <c r="I151" s="2">
        <v>83</v>
      </c>
      <c r="J151" s="2">
        <v>76</v>
      </c>
      <c r="K151" s="2">
        <v>356</v>
      </c>
      <c r="L151" s="2">
        <v>89</v>
      </c>
      <c r="M151" t="s">
        <v>14</v>
      </c>
    </row>
  </sheetData>
  <conditionalFormatting sqref="F2:L151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selection activeCell="D15" sqref="D15"/>
    </sheetView>
  </sheetViews>
  <sheetFormatPr defaultRowHeight="13.8"/>
  <cols>
    <col min="1" max="1" width="16" customWidth="1"/>
    <col min="2" max="4" width="21" customWidth="1"/>
    <col min="6" max="6" width="14" customWidth="1"/>
    <col min="7" max="9" width="16" customWidth="1"/>
    <col min="11" max="11" width="16" customWidth="1"/>
    <col min="12" max="13" width="20" customWidth="1"/>
  </cols>
  <sheetData>
    <row r="1" spans="1:13" ht="21">
      <c r="A1" s="11" t="s">
        <v>306</v>
      </c>
      <c r="B1" s="11"/>
      <c r="C1" s="11"/>
      <c r="D1" s="11"/>
      <c r="E1" s="11"/>
    </row>
    <row r="3" spans="1:13">
      <c r="A3" s="3" t="s">
        <v>8</v>
      </c>
      <c r="B3" s="3" t="s">
        <v>307</v>
      </c>
      <c r="C3" s="3" t="s">
        <v>5</v>
      </c>
      <c r="D3" s="3" t="s">
        <v>308</v>
      </c>
      <c r="F3" s="3" t="s">
        <v>24</v>
      </c>
      <c r="G3" s="3" t="s">
        <v>307</v>
      </c>
      <c r="H3" s="3" t="s">
        <v>5</v>
      </c>
      <c r="I3" s="3" t="s">
        <v>6</v>
      </c>
      <c r="K3" s="3" t="s">
        <v>9</v>
      </c>
      <c r="L3" s="3" t="s">
        <v>10</v>
      </c>
      <c r="M3" s="3" t="s">
        <v>309</v>
      </c>
    </row>
    <row r="4" spans="1:13">
      <c r="A4" t="s">
        <v>12</v>
      </c>
      <c r="B4" s="2">
        <f>COUNTIF('Student Data'!$C$2:$C$151,A4)</f>
        <v>43</v>
      </c>
      <c r="C4" s="2">
        <f>AVERAGEIF('Student Data'!$C$2:$C$151,A4,'Student Data'!$L$2:$L$151)</f>
        <v>63.093023255813954</v>
      </c>
      <c r="D4" s="2">
        <f>AVERAGEIF('Student Data'!$C$2:$C$151,A4,'Student Data'!$J$2:$J$151)</f>
        <v>82.883720930232556</v>
      </c>
      <c r="F4" t="s">
        <v>31</v>
      </c>
      <c r="G4" s="2">
        <f>COUNTIF('Student Data'!$E$2:$E$151,F4)</f>
        <v>73</v>
      </c>
      <c r="H4" s="2">
        <f>AVERAGEIF('Student Data'!$E$2:$E$151,F4,'Student Data'!$L$2:$L$151)</f>
        <v>68.558904109589051</v>
      </c>
      <c r="I4" s="2">
        <f>COUNTIFS('Student Data'!$E$2:$E$151,F4,'Student Data'!$M$2:$M$151,"Pass")</f>
        <v>63</v>
      </c>
      <c r="K4" t="s">
        <v>13</v>
      </c>
      <c r="L4" s="2">
        <f>AVERAGE('Student Data'!$F$2:$F$151)</f>
        <v>66.813333333333333</v>
      </c>
      <c r="M4" s="2">
        <f>MAX('Student Data'!$F$2:$F$151)</f>
        <v>100</v>
      </c>
    </row>
    <row r="5" spans="1:13">
      <c r="A5" t="s">
        <v>15</v>
      </c>
      <c r="B5" s="2">
        <f>COUNTIF('Student Data'!$C$2:$C$151,A5)</f>
        <v>59</v>
      </c>
      <c r="C5" s="2">
        <f>AVERAGEIF('Student Data'!$C$2:$C$151,A5,'Student Data'!$L$2:$L$151)</f>
        <v>66.879661016949157</v>
      </c>
      <c r="D5" s="2">
        <f>AVERAGEIF('Student Data'!$C$2:$C$151,A5,'Student Data'!$J$2:$J$151)</f>
        <v>81.745762711864401</v>
      </c>
      <c r="F5" t="s">
        <v>35</v>
      </c>
      <c r="G5" s="2">
        <f>COUNTIF('Student Data'!$E$2:$E$151,F5)</f>
        <v>77</v>
      </c>
      <c r="H5" s="2">
        <f>AVERAGEIF('Student Data'!$E$2:$E$151,F5,'Student Data'!$L$2:$L$151)</f>
        <v>63.985714285714295</v>
      </c>
      <c r="I5" s="2">
        <f>COUNTIFS('Student Data'!$E$2:$E$151,F5,'Student Data'!$M$2:$M$151,"Pass")</f>
        <v>64</v>
      </c>
      <c r="K5" t="s">
        <v>16</v>
      </c>
      <c r="L5" s="2">
        <f>AVERAGE('Student Data'!$G$2:$G$151)</f>
        <v>64.88666666666667</v>
      </c>
      <c r="M5" s="2">
        <f>MAX('Student Data'!$G$2:$G$151)</f>
        <v>100</v>
      </c>
    </row>
    <row r="6" spans="1:13">
      <c r="A6" t="s">
        <v>18</v>
      </c>
      <c r="B6" s="2">
        <f>COUNTIF('Student Data'!$C$2:$C$151,A6)</f>
        <v>48</v>
      </c>
      <c r="C6" s="2">
        <f>AVERAGEIF('Student Data'!$C$2:$C$151,A6,'Student Data'!$L$2:$L$151)</f>
        <v>68.183333333333337</v>
      </c>
      <c r="D6" s="2">
        <f>AVERAGEIF('Student Data'!$C$2:$C$151,A6,'Student Data'!$J$2:$J$151)</f>
        <v>83.958333333333329</v>
      </c>
      <c r="K6" t="s">
        <v>19</v>
      </c>
      <c r="L6" s="2">
        <f>AVERAGE('Student Data'!$H$2:$H$151)</f>
        <v>67.11333333333333</v>
      </c>
      <c r="M6" s="2">
        <f>MAX('Student Data'!$H$2:$H$151)</f>
        <v>100</v>
      </c>
    </row>
    <row r="7" spans="1:13">
      <c r="K7" t="s">
        <v>20</v>
      </c>
      <c r="L7" s="2">
        <f>AVERAGE('Student Data'!$I$2:$I$151)</f>
        <v>66.026666666666671</v>
      </c>
      <c r="M7" s="2">
        <f>MAX('Student Data'!$I$2:$I$151)</f>
        <v>100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" sqref="B2"/>
    </sheetView>
  </sheetViews>
  <sheetFormatPr defaultRowHeight="13.8"/>
  <sheetData>
    <row r="1" spans="1:2">
      <c r="A1" s="3" t="s">
        <v>1</v>
      </c>
      <c r="B1" s="3" t="s">
        <v>3</v>
      </c>
    </row>
    <row r="2" spans="1:2">
      <c r="A2" t="s">
        <v>2</v>
      </c>
      <c r="B2" t="s">
        <v>2</v>
      </c>
    </row>
    <row r="3" spans="1:2">
      <c r="A3" t="s">
        <v>12</v>
      </c>
      <c r="B3" t="s">
        <v>31</v>
      </c>
    </row>
    <row r="4" spans="1:2">
      <c r="A4" t="s">
        <v>15</v>
      </c>
      <c r="B4" t="s">
        <v>35</v>
      </c>
    </row>
    <row r="5" spans="1:2">
      <c r="A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Student Data</vt:lpstr>
      <vt:lpstr>Pivot Summary</vt:lpstr>
      <vt:lpstr>Filter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shantanu lad</cp:lastModifiedBy>
  <dcterms:modified xsi:type="dcterms:W3CDTF">2026-10-13T10:07:13Z</dcterms:modified>
</cp:coreProperties>
</file>